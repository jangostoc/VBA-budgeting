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Escritorio\Javier Angosto - Analista financiero\zzz CFI - FP&amp;A\_VBA\"/>
    </mc:Choice>
  </mc:AlternateContent>
  <xr:revisionPtr revIDLastSave="0" documentId="13_ncr:1_{670C72AA-EED0-46F0-8E1F-80D69222F7BE}" xr6:coauthVersionLast="47" xr6:coauthVersionMax="47" xr10:uidLastSave="{00000000-0000-0000-0000-000000000000}"/>
  <bookViews>
    <workbookView xWindow="10680" yWindow="446" windowWidth="14580" windowHeight="12283" activeTab="5" xr2:uid="{00000000-000D-0000-FFFF-FFFF00000000}"/>
  </bookViews>
  <sheets>
    <sheet name="Portada" sheetId="12" r:id="rId1"/>
    <sheet name="Presupuesto" sheetId="2" r:id="rId2"/>
    <sheet name="Real" sheetId="3" r:id="rId3"/>
    <sheet name="Desviaciones" sheetId="4" r:id="rId4"/>
    <sheet name="CuadroMando" sheetId="16" r:id="rId5"/>
    <sheet name="Conclusiones" sheetId="11" r:id="rId6"/>
    <sheet name="DatosCuadro" sheetId="15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<sst xmlns="http://schemas.openxmlformats.org/spreadsheetml/2006/main" count="204" uniqueCount="126">
  <si>
    <t>Epígrafe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</si>
  <si>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</si>
  <si>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</si>
  <si>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</si>
  <si>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</si>
  <si>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</si>
  <si>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</si>
  <si>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</si>
  <si>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</si>
  <si>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</si>
  <si>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</si>
  <si>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</si>
  <si>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</si>
  <si>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Importe neto de la cifra de negocios</t>
  </si>
  <si>
    <t>Aprovisionamientos</t>
  </si>
  <si>
    <t>Gastos de personal</t>
  </si>
  <si>
    <t>Otros gastos de explotación</t>
  </si>
  <si>
    <t>Amortización del inmovilizado</t>
  </si>
  <si>
    <t>REAL VS PRESUPUESTO - SEP</t>
  </si>
  <si>
    <t>MES: SEP</t>
  </si>
  <si>
    <t>ACUMULADO ENE - SEP</t>
  </si>
  <si>
    <t>Real</t>
  </si>
  <si>
    <t>Ppto</t>
  </si>
  <si>
    <t>Desv. €</t>
  </si>
  <si>
    <t>Desv. %</t>
  </si>
  <si>
    <t>Semáforo</t>
  </si>
  <si>
    <t>Favorable</t>
  </si>
  <si>
    <t>Vigilar</t>
  </si>
  <si>
    <t>Desfavorable</t>
  </si>
  <si>
    <t>RESULTADO</t>
  </si>
  <si>
    <t>Mayor desviación desfavorable acumulada: Aprovisionamientos (-27.914 €).</t>
  </si>
  <si>
    <t>Mes</t>
  </si>
  <si>
    <t>Ventas ppto</t>
  </si>
  <si>
    <t>Ventas real</t>
  </si>
  <si>
    <t>Resultado acum. ppto</t>
  </si>
  <si>
    <t>Resultado acum. real</t>
  </si>
  <si>
    <t>Desv. acumulada</t>
  </si>
  <si>
    <t>Meses con datos</t>
  </si>
  <si>
    <t>Mes:</t>
  </si>
  <si>
    <t>VENTAS ACUMULADAS</t>
  </si>
  <si>
    <t>vs ppto: +1,1%</t>
  </si>
  <si>
    <t>MARGEN BRUTO</t>
  </si>
  <si>
    <t>Ppto: 45,0% (-2,0 p.p.)</t>
  </si>
  <si>
    <t>RESULTADO ACUMULADO</t>
  </si>
  <si>
    <t>vs ppto: -14,9%</t>
  </si>
  <si>
    <t>RESULTADO DEL MES</t>
  </si>
  <si>
    <t>vs ppto: -36,6%</t>
  </si>
  <si>
    <t>CUADRO DE MANDO · ACUMULADO ENE - SEP</t>
  </si>
  <si>
    <t>Foco: la mayor desviación desfavorable acumulada está en Aprovisionamientos (-27.914 €).</t>
  </si>
  <si>
    <t>INFORME DE GESTIÓN · ACUMULADO ENE - SEP</t>
  </si>
  <si>
    <t>Real frente a presupuesto. Informe generado automáticamente el 14/10/2026 13:09 con la macro GenerarConclusionesPpto.</t>
  </si>
  <si>
    <t>1. Resumen ejecutivo</t>
  </si>
  <si>
    <t>•</t>
  </si>
  <si>
    <t>Las ventas acumuladas suman 1.073.392 €, un +1,1% frente a los 1.061.667 € presupuestados.</t>
  </si>
  <si>
    <t>El resultado acumulado es de 144.611 € frente a 169.950 € presupuestados: una desviación de -25.339 € (-14,9%).</t>
  </si>
  <si>
    <t>El margen bruto (ventas menos compras) se sitúa en el 43,0%, -2,0 p.p. respecto al 45,0% presupuestado.</t>
  </si>
  <si>
    <t>En Sep la desviación del resultado se amplía hasta el -36,6% (frente al -14,9% acumulado): la tendencia empeora.</t>
  </si>
  <si>
    <t>2. ¿Qué explica la desviación del resultado?</t>
  </si>
  <si>
    <t>Puente desde el resultado presupuestado hasta el real. Ventas y compras se separan en efecto volumen (vender más o menos de lo previsto) y efecto precio (comprar más caro o más barato en proporción a lo vendido).</t>
  </si>
  <si>
    <t>Concepto</t>
  </si>
  <si>
    <t>Importe</t>
  </si>
  <si>
    <t>Efecto</t>
  </si>
  <si>
    <t>Resultado presupuestado</t>
  </si>
  <si>
    <t>Efecto volumen de ventas</t>
  </si>
  <si>
    <t>Efecto precio de las compras</t>
  </si>
  <si>
    <t>Sin desviación</t>
  </si>
  <si>
    <t>Resultado real</t>
  </si>
  <si>
    <t>El principal factor es «Efecto precio de las compras» (-21.465 €), que por sí solo equivale al 85% de la desviación total del resultado.</t>
  </si>
  <si>
    <t>Vender más de lo previsto ha aportado +5.276 € de margen, pero el encarecimiento de las compras (57,0% de las ventas frente al 55,0% presupuestado) lo ha absorbido con creces.</t>
  </si>
  <si>
    <t>3. Análisis por partida</t>
  </si>
  <si>
    <t>Importe neto de la cifra de negocios: +11.725 € (+1,1%), favorable. Desfavorable en 4 de 9 meses; el peor mes fue Sep (-9.334 €).</t>
  </si>
  <si>
    <t>Aprovisionamientos: -27.914 € (-4,8%), a vigilar. Desfavorable en 7 de 9 meses; el peor mes fue Jul (-9.184 €).</t>
  </si>
  <si>
    <t>Gastos de personal: -6.000 € (-2,4%), a vigilar. Desfavorable en 2 de 9 meses; el peor mes fue Jul (-3.000 €).</t>
  </si>
  <si>
    <t>Otros gastos de explotación: -3.150 € (-10,0%), desfavorable. Desfavorable en 9 de 9 meses; el peor mes fue Ene (-350 €).</t>
  </si>
  <si>
    <t>Amortización del inmovilizado: en línea con el presupuesto.</t>
  </si>
  <si>
    <t>4. Previsión de cierre del ejercicio</t>
  </si>
  <si>
    <t>Escenario</t>
  </si>
  <si>
    <t>Resultado anual</t>
  </si>
  <si>
    <t>vs presupuesto</t>
  </si>
  <si>
    <t>Presupuesto anual aprobado</t>
  </si>
  <si>
    <t>A. Real hasta Sep + presupuesto de Oct a Dic</t>
  </si>
  <si>
    <t>B. Escenario A manteniendo el coste actual de las compras</t>
  </si>
  <si>
    <t>Si el resto del año se cumple el presupuesto, el ejercicio cerraría con 194.261 € (-11,5% frente al presupuesto). Si las compras siguen en el 57,0% de las ventas, el cierre bajaría a 187.495 €.</t>
  </si>
  <si>
    <t>5. Puntos de acción</t>
  </si>
  <si>
    <t>Compras: el coste está en el 57,0% de las ventas frente al 55,0% presupuestado. Revisar precios y condiciones con proveedores; de mantenerse, restaría 6.766 € más hasta diciembre.</t>
  </si>
  <si>
    <t>Comercial: las ventas de Sep quedan un -8,0% por debajo del presupuesto. Confirmar si es un hecho puntual o un cambio de tendencia.</t>
  </si>
  <si>
    <t>Gastos de personal: desviación acumulada de -6.000 € (-2,4%), desfavorable en 2 de 9 meses. Analizar la causa y si es recurrente.</t>
  </si>
  <si>
    <t>Otros gastos de explotación: desviación acumulada de -3.150 € (-10,0%), desfavorable en 9 de 9 meses. Analizar la causa y si es recurrente.</t>
  </si>
  <si>
    <t>Criterio del semáforo: favorable si la desviación es positiva o nula; a vigilar si es desfavorable hasta un 5%; desfavorable por encima de ese umbral.</t>
  </si>
  <si>
    <t>CONTROL PRESUPUESTARIO 2026</t>
  </si>
  <si>
    <t>Real frente a presupuesto, cuadro de mando e informe de gestión · acumulado Ene - Sep</t>
  </si>
  <si>
    <t>Actualizado el 14/10/2026 13:09   ·   7 hojas en el libro</t>
  </si>
  <si>
    <t>CIFRAS CLAVE · ACUMULADO ENE - SEP</t>
  </si>
  <si>
    <t>PREVISIÓN DE CIERRE</t>
  </si>
  <si>
    <t>CONTENIDO DEL LIBRO</t>
  </si>
  <si>
    <t>Nº</t>
  </si>
  <si>
    <t>HOJA (clic para ir)</t>
  </si>
  <si>
    <t>QUÉ CONTIENE</t>
  </si>
  <si>
    <t>MACRO QUE LA GENERA</t>
  </si>
  <si>
    <t>CuadroMando</t>
  </si>
  <si>
    <t>4 KPI con semáforo y 3 gráficos. Elige el mes en la celda C3 y pulsa Actualizar.</t>
  </si>
  <si>
    <t>CrearCuadroMando</t>
  </si>
  <si>
    <t>Conclusiones</t>
  </si>
  <si>
    <t>Informe de gestión redactado automáticamente: resumen, puente del resultado, análisis por partida, previsión de cierre y acciones.</t>
  </si>
  <si>
    <t>GenerarConclusionesPpto</t>
  </si>
  <si>
    <t>Desviaciones</t>
  </si>
  <si>
    <t>Real vs presupuesto del mes y del acumulado por epígrafe, con semáforo y gráfico de ventas.</t>
  </si>
  <si>
    <t>AnalisisDesviaciones</t>
  </si>
  <si>
    <t>Presupuesto</t>
  </si>
  <si>
    <t>Presupuesto mensual aprobado (datos de partida): epígrafes en filas y meses en columnas.</t>
  </si>
  <si>
    <t>CrearDatosPresupuesto</t>
  </si>
  <si>
    <t>Importes reales de los meses cerrados, con la misma estructura que el presupuesto.</t>
  </si>
  <si>
    <t>DatosCuadro</t>
  </si>
  <si>
    <t>Hoja auxiliar con las series que alimentan los gráficos del cuadro de mando. No se edita a mano.</t>
  </si>
  <si>
    <t>ActualizarCuadro</t>
  </si>
  <si>
    <t>Inicio</t>
  </si>
  <si>
    <t>Hoja de trabajo adicional del libro.</t>
  </si>
  <si>
    <t>-</t>
  </si>
  <si>
    <t>INSTRUCCIONES DE USO</t>
  </si>
  <si>
    <t>Haz clic en el nombre de una hoja del índice para ir a ella. En cada hoja, el botón «Portada» te trae de vuelta.</t>
  </si>
  <si>
    <t>Primera vez, por este orden:  CrearDatosPresupuesto  &gt;  CrearCuadroMando  &gt;  AnalisisDesviaciones  &gt;  GenerarConclusionesPpto  &gt;  CrearPortada.</t>
  </si>
  <si>
    <t>Cierre de cada mes: elige el mes en la celda C3 del CuadroMando y pulsa Actualizar; después ejecuta GenerarConclusionesPpto y pulsa «Actualizar portada».</t>
  </si>
  <si>
    <t>Para usar datos propios, pega los importes en Presupuesto y Real con la misma estructura (ingresos en positivo, gastos en negativo, meses sin cerrar vacíos) y no vuelvas a ejecutar CrearDatosPresupuesto, que regenera los datos de ejemplo.</t>
  </si>
  <si>
    <t>El semáforo marca en ámbar las desviaciones desfavorables de hasta un 5% y en rojo las mayores. El umbral se cambia en la constante UMBRAL_VIGILAR del módulo modPresupuesto.</t>
  </si>
  <si>
    <t>Las macros se lanzan con Alt + F8 (o Programador &gt; Macros) y el código se ve con Alt + F11.</t>
  </si>
  <si>
    <t>Portada generada con la macro CrearPortada (módulo modPortada).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</si>
</sst>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;[Red]\-#,##0"/>
    <numFmt numFmtId="165" formatCode="\+0.0%;[Red]\-0.0%"/>
    <numFmt numFmtId="166" formatCode="#,##0\ &quot;€&quot;"/>
    <numFmt numFmtId="167" formatCode="0.0%"/>
    <numFmt numFmtId="168" formatCode="\+#,##0\ &quot;€&quot;;[Red]\-#,##0\ &quot;€&quot;;0\ &quot;€&quot;"/>
    <numFmt numFmtId="169" formatCode="\+0.0%;[Red]\-0.0%;0.0%"/>
    <numFmt numFmtId="170" formatCode="#,##0\ &quot;€&quot;;[Red]\-#,##0\ &quot;€&quot;"/>
    <numFmt numFmtId="171" formatCode="[Color10]\+0.0%\ &quot;vs ppto&quot;;[Red]\-0.0%\ &quot;vs ppto&quot;;0.0%\ &quot;vs ppto&quot;"/>
    <numFmt numFmtId="172" formatCode="[Color10]\+0.0\ &quot;p.p. vs ppto&quot;;[Red]\-0.0\ &quot;p.p. vs ppto&quot;;0.0\ &quot;p.p. vs ppto&quot;"/>
    <numFmt numFmtId="173" formatCode="[Color10]\+0.0%\ &quot;vs ppto anual&quot;;[Red]\-0.0%\ &quot;vs ppto anual&quot;;0.0%\ &quot;vs ppto anual&quot;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1F4E79"/>
      <name val="Calibri"/>
      <family val="2"/>
      <scheme val="minor"/>
    </font>
    <font>
      <sz val="10"/>
      <color rgb="FF595959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rgb="FF1F3864"/>
      <name val="Calibri"/>
      <family val="2"/>
      <scheme val="minor"/>
    </font>
    <font>
      <i/>
      <sz val="11"/>
      <color rgb="FF6E6E6E"/>
      <name val="Calibri"/>
      <family val="2"/>
      <scheme val="minor"/>
    </font>
    <font>
      <b/>
      <sz val="13"/>
      <color rgb="FF1F3864"/>
      <name val="Calibri"/>
      <family val="2"/>
      <scheme val="minor"/>
    </font>
    <font>
      <b/>
      <sz val="11"/>
      <color rgb="FF2F75B5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9"/>
      <color rgb="FF6E6E6E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26"/>
      <color rgb="FFFFFFFF"/>
      <name val="Calibri"/>
      <family val="2"/>
      <scheme val="minor"/>
    </font>
    <font>
      <sz val="13"/>
      <color rgb="FFBDD7EE"/>
      <name val="Calibri"/>
      <family val="2"/>
      <scheme val="minor"/>
    </font>
    <font>
      <sz val="10"/>
      <color rgb="FF262626"/>
      <name val="Calibri"/>
      <family val="2"/>
      <scheme val="minor"/>
    </font>
    <font>
      <sz val="10"/>
      <color rgb="FFBDD7EE"/>
      <name val="Calibri"/>
      <family val="2"/>
      <scheme val="minor"/>
    </font>
    <font>
      <b/>
      <sz val="12"/>
      <color rgb="FF1F3864"/>
      <name val="Calibri"/>
      <family val="2"/>
      <scheme val="minor"/>
    </font>
    <font>
      <b/>
      <sz val="9"/>
      <color rgb="FF6E6E6E"/>
      <name val="Calibri"/>
      <family val="2"/>
      <scheme val="minor"/>
    </font>
    <font>
      <b/>
      <sz val="20"/>
      <color rgb="FF1F38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2F75B5"/>
      <name val="Calibri"/>
      <family val="2"/>
      <scheme val="minor"/>
    </font>
    <font>
      <sz val="10"/>
      <color rgb="FF6E6E6E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2F6FC"/>
        <bgColor indexed="64"/>
      </patternFill>
    </fill>
    <fill>
      <patternFill patternType="solid">
        <fgColor rgb="FF2F75B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/>
      <bottom style="medium">
        <color rgb="FF2F75B5"/>
      </bottom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/>
      <top style="thin">
        <color rgb="FFD9E1F2"/>
      </top>
      <bottom/>
      <diagonal/>
    </border>
    <border>
      <left style="thick">
        <color rgb="FF2F75B5"/>
      </left>
      <right/>
      <top/>
      <bottom/>
      <diagonal/>
    </border>
    <border>
      <left style="thick">
        <color rgb="FF2F75B5"/>
      </left>
      <right style="thick">
        <color rgb="FFFFFFFF"/>
      </right>
      <top/>
      <bottom/>
      <diagonal/>
    </border>
    <border>
      <left style="thick">
        <color rgb="FF2F75B5"/>
      </left>
      <right/>
      <top style="thin">
        <color rgb="FFD9E1F2"/>
      </top>
      <bottom style="thin">
        <color rgb="FFD9E1F2"/>
      </bottom>
      <diagonal/>
    </border>
    <border>
      <left style="thick">
        <color rgb="FF2F75B5"/>
      </left>
      <right/>
      <top style="thin">
        <color rgb="FFD9E1F2"/>
      </top>
      <bottom/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115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3" fillId="2" borderId="0" xfId="0" applyFon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0" borderId="1" xfId="0" applyFont="1" applyBorder="1"/>
    <xf numFmtId="0" fontId="1" fillId="5" borderId="1" xfId="0" applyFont="1" applyFill="1" applyBorder="1" applyAlignment="1">
      <alignment horizontal="center"/>
    </xf>
    <xf numFmtId="164" fontId="1" fillId="0" borderId="1" xfId="0" applyNumberFormat="1" applyFont="1" applyBorder="1"/>
    <xf numFmtId="165" fontId="0" fillId="0" borderId="0" xfId="0" applyNumberFormat="1"/>
    <xf numFmtId="165" fontId="1" fillId="0" borderId="1" xfId="0" applyNumberFormat="1" applyFont="1" applyBorder="1"/>
    <xf numFmtId="0" fontId="4" fillId="0" borderId="0" xfId="0" applyFont="1"/>
    <xf numFmtId="3" fontId="0" fillId="0" borderId="0" xfId="0" applyNumberFormat="1"/>
    <xf numFmtId="0" fontId="5" fillId="0" borderId="0" xfId="0" applyFont="1"/>
    <xf numFmtId="0" fontId="1" fillId="6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6" fontId="7" fillId="3" borderId="6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7" fontId="7" fillId="4" borderId="6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6" fontId="7" fillId="5" borderId="6" xfId="0" applyNumberFormat="1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0" borderId="0" xfId="0" applyFont="1"/>
    <xf numFmtId="0" fontId="9" fillId="0" borderId="0" xfId="0" applyFont="1"/>
    <xf numFmtId="0" fontId="0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1" fillId="0" borderId="11" xfId="0" applyFont="1" applyBorder="1"/>
    <xf numFmtId="0" fontId="0" fillId="0" borderId="11" xfId="0" applyFont="1" applyBorder="1"/>
    <xf numFmtId="0" fontId="12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 indent="1"/>
    </xf>
    <xf numFmtId="0" fontId="3" fillId="7" borderId="0" xfId="0" applyFont="1" applyFill="1"/>
    <xf numFmtId="0" fontId="3" fillId="7" borderId="0" xfId="0" applyFont="1" applyFill="1" applyAlignment="1">
      <alignment horizontal="right"/>
    </xf>
    <xf numFmtId="0" fontId="1" fillId="8" borderId="0" xfId="0" applyFont="1" applyFill="1" applyBorder="1"/>
    <xf numFmtId="166" fontId="1" fillId="8" borderId="0" xfId="0" applyNumberFormat="1" applyFont="1" applyFill="1" applyBorder="1"/>
    <xf numFmtId="0" fontId="0" fillId="0" borderId="13" xfId="0" applyFont="1" applyBorder="1" applyAlignment="1">
      <alignment horizontal="left" indent="2"/>
    </xf>
    <xf numFmtId="168" fontId="0" fillId="0" borderId="13" xfId="0" applyNumberFormat="1" applyFont="1" applyBorder="1"/>
    <xf numFmtId="0" fontId="13" fillId="0" borderId="13" xfId="0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1" fillId="8" borderId="12" xfId="0" applyFont="1" applyFill="1" applyBorder="1"/>
    <xf numFmtId="166" fontId="1" fillId="8" borderId="12" xfId="0" applyNumberFormat="1" applyFont="1" applyFill="1" applyBorder="1"/>
    <xf numFmtId="0" fontId="0" fillId="3" borderId="0" xfId="0" applyFont="1" applyFill="1" applyAlignment="1">
      <alignment vertical="top"/>
    </xf>
    <xf numFmtId="0" fontId="0" fillId="4" borderId="0" xfId="0" applyFont="1" applyFill="1" applyAlignment="1">
      <alignment vertical="top"/>
    </xf>
    <xf numFmtId="0" fontId="0" fillId="5" borderId="0" xfId="0" applyFont="1" applyFill="1" applyAlignment="1">
      <alignment vertical="top"/>
    </xf>
    <xf numFmtId="0" fontId="0" fillId="8" borderId="0" xfId="0" applyFont="1" applyFill="1" applyBorder="1"/>
    <xf numFmtId="166" fontId="0" fillId="8" borderId="0" xfId="0" applyNumberFormat="1" applyFont="1" applyFill="1" applyBorder="1"/>
    <xf numFmtId="0" fontId="0" fillId="0" borderId="12" xfId="0" applyFont="1" applyBorder="1"/>
    <xf numFmtId="166" fontId="0" fillId="0" borderId="12" xfId="0" applyNumberFormat="1" applyFont="1" applyBorder="1"/>
    <xf numFmtId="169" fontId="0" fillId="0" borderId="12" xfId="0" applyNumberFormat="1" applyFont="1" applyBorder="1"/>
    <xf numFmtId="0" fontId="0" fillId="0" borderId="13" xfId="0" applyFont="1" applyBorder="1"/>
    <xf numFmtId="166" fontId="0" fillId="0" borderId="13" xfId="0" applyNumberFormat="1" applyFont="1" applyBorder="1"/>
    <xf numFmtId="169" fontId="0" fillId="0" borderId="13" xfId="0" applyNumberFormat="1" applyFont="1" applyBorder="1"/>
    <xf numFmtId="0" fontId="15" fillId="0" borderId="0" xfId="0" applyFont="1" applyAlignment="1">
      <alignment vertical="top" wrapText="1"/>
    </xf>
    <xf numFmtId="0" fontId="16" fillId="0" borderId="0" xfId="0" applyFont="1" applyAlignment="1">
      <alignment vertical="center"/>
    </xf>
    <xf numFmtId="0" fontId="16" fillId="7" borderId="0" xfId="0" applyFont="1" applyFill="1" applyAlignment="1">
      <alignment vertical="center"/>
    </xf>
    <xf numFmtId="0" fontId="16" fillId="9" borderId="0" xfId="0" applyFont="1" applyFill="1" applyAlignment="1">
      <alignment vertical="center"/>
    </xf>
    <xf numFmtId="0" fontId="17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0" fontId="20" fillId="7" borderId="0" xfId="0" applyFont="1" applyFill="1" applyAlignment="1">
      <alignment vertical="center"/>
    </xf>
    <xf numFmtId="0" fontId="21" fillId="0" borderId="11" xfId="0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22" fillId="8" borderId="15" xfId="0" applyFont="1" applyFill="1" applyBorder="1" applyAlignment="1">
      <alignment horizontal="left" vertical="center" indent="1"/>
    </xf>
    <xf numFmtId="170" fontId="23" fillId="8" borderId="15" xfId="0" applyNumberFormat="1" applyFont="1" applyFill="1" applyBorder="1" applyAlignment="1">
      <alignment horizontal="left" vertical="center" indent="1"/>
    </xf>
    <xf numFmtId="0" fontId="22" fillId="8" borderId="14" xfId="0" applyFont="1" applyFill="1" applyBorder="1" applyAlignment="1">
      <alignment horizontal="left" vertical="center" indent="1"/>
    </xf>
    <xf numFmtId="170" fontId="23" fillId="8" borderId="14" xfId="0" applyNumberFormat="1" applyFont="1" applyFill="1" applyBorder="1" applyAlignment="1">
      <alignment horizontal="left" vertical="center" indent="1"/>
    </xf>
    <xf numFmtId="171" fontId="19" fillId="8" borderId="14" xfId="0" applyNumberFormat="1" applyFont="1" applyFill="1" applyBorder="1" applyAlignment="1">
      <alignment horizontal="left" vertical="center" indent="1"/>
    </xf>
    <xf numFmtId="167" fontId="23" fillId="8" borderId="14" xfId="0" applyNumberFormat="1" applyFont="1" applyFill="1" applyBorder="1" applyAlignment="1">
      <alignment horizontal="left" vertical="center" indent="1"/>
    </xf>
    <xf numFmtId="172" fontId="19" fillId="8" borderId="14" xfId="0" applyNumberFormat="1" applyFont="1" applyFill="1" applyBorder="1" applyAlignment="1">
      <alignment horizontal="left" vertical="center" indent="1"/>
    </xf>
    <xf numFmtId="173" fontId="19" fillId="8" borderId="15" xfId="0" applyNumberFormat="1" applyFont="1" applyFill="1" applyBorder="1" applyAlignment="1">
      <alignment horizontal="left" vertical="center" indent="1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0" fontId="21" fillId="8" borderId="14" xfId="0" applyFont="1" applyFill="1" applyBorder="1" applyAlignment="1">
      <alignment horizontal="center" vertical="center"/>
    </xf>
    <xf numFmtId="0" fontId="25" fillId="8" borderId="0" xfId="1" applyFont="1" applyFill="1" applyBorder="1" applyAlignment="1">
      <alignment horizontal="left" vertical="center" indent="1"/>
    </xf>
    <xf numFmtId="0" fontId="19" fillId="8" borderId="0" xfId="0" applyFont="1" applyFill="1" applyBorder="1" applyAlignment="1">
      <alignment horizontal="left" vertical="center" wrapText="1" indent="1"/>
    </xf>
    <xf numFmtId="0" fontId="26" fillId="8" borderId="0" xfId="0" applyFont="1" applyFill="1" applyBorder="1" applyAlignment="1">
      <alignment horizontal="left" vertical="center" indent="1"/>
    </xf>
    <xf numFmtId="0" fontId="21" fillId="0" borderId="17" xfId="0" applyFont="1" applyBorder="1" applyAlignment="1">
      <alignment horizontal="center" vertical="center"/>
    </xf>
    <xf numFmtId="0" fontId="25" fillId="0" borderId="13" xfId="1" applyFont="1" applyBorder="1" applyAlignment="1">
      <alignment horizontal="left" vertical="center" indent="1"/>
    </xf>
    <xf numFmtId="0" fontId="19" fillId="0" borderId="13" xfId="0" applyFont="1" applyBorder="1" applyAlignment="1">
      <alignment horizontal="left" vertical="center" wrapText="1" indent="1"/>
    </xf>
    <xf numFmtId="0" fontId="26" fillId="0" borderId="13" xfId="0" applyFont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/>
    </xf>
    <xf numFmtId="0" fontId="25" fillId="8" borderId="12" xfId="1" applyFont="1" applyFill="1" applyBorder="1" applyAlignment="1">
      <alignment horizontal="left" vertical="center" indent="1"/>
    </xf>
    <xf numFmtId="0" fontId="19" fillId="8" borderId="12" xfId="0" applyFont="1" applyFill="1" applyBorder="1" applyAlignment="1">
      <alignment horizontal="left" vertical="center" wrapText="1" indent="1"/>
    </xf>
    <xf numFmtId="0" fontId="26" fillId="8" borderId="12" xfId="0" applyFont="1" applyFill="1" applyBorder="1" applyAlignment="1">
      <alignment horizontal="left" vertical="center" indent="1"/>
    </xf>
    <xf numFmtId="0" fontId="21" fillId="8" borderId="17" xfId="0" applyFont="1" applyFill="1" applyBorder="1" applyAlignment="1">
      <alignment horizontal="center" vertical="center"/>
    </xf>
    <xf numFmtId="0" fontId="25" fillId="8" borderId="13" xfId="1" applyFont="1" applyFill="1" applyBorder="1" applyAlignment="1">
      <alignment horizontal="left" vertical="center" indent="1"/>
    </xf>
    <xf numFmtId="0" fontId="19" fillId="8" borderId="13" xfId="0" applyFont="1" applyFill="1" applyBorder="1" applyAlignment="1">
      <alignment horizontal="left" vertical="center" wrapText="1" indent="1"/>
    </xf>
    <xf numFmtId="0" fontId="26" fillId="8" borderId="13" xfId="0" applyFont="1" applyFill="1" applyBorder="1" applyAlignment="1">
      <alignment horizontal="left" vertical="center" indent="1"/>
    </xf>
    <xf numFmtId="0" fontId="19" fillId="0" borderId="0" xfId="0" applyFont="1" applyAlignment="1">
      <alignment vertical="top" wrapText="1"/>
    </xf>
    <xf numFmtId="0" fontId="16" fillId="0" borderId="13" xfId="0" applyFont="1" applyBorder="1" applyAlignment="1">
      <alignment vertical="center"/>
    </xf>
    <xf numFmtId="0" fontId="15" fillId="0" borderId="13" xfId="0" applyFont="1" applyBorder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Ventas mensuales: real vs presupuesto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Presupuesto</c:v>
          </c:tx>
          <c:invertIfNegative val="0"/>
          <c:cat>
            <c:strRef>
              <c:f>Presupuesto!$B$1:$M$1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Presupuesto!$B$2:$M$2</c:f>
              <c:numCache>
                <c:formatCode>General</c:formatCode>
                <c:ptCount val="12"/>
                <c:pt idx="0">
                  <c:v>93333</c:v>
                </c:pt>
                <c:pt idx="1">
                  <c:v>99167</c:v>
                </c:pt>
                <c:pt idx="2">
                  <c:v>110833</c:v>
                </c:pt>
                <c:pt idx="3">
                  <c:v>116667</c:v>
                </c:pt>
                <c:pt idx="4">
                  <c:v>122500</c:v>
                </c:pt>
                <c:pt idx="5">
                  <c:v>128333</c:v>
                </c:pt>
                <c:pt idx="6">
                  <c:v>140000</c:v>
                </c:pt>
                <c:pt idx="7">
                  <c:v>134167</c:v>
                </c:pt>
                <c:pt idx="8">
                  <c:v>116667</c:v>
                </c:pt>
                <c:pt idx="9">
                  <c:v>110833</c:v>
                </c:pt>
                <c:pt idx="10">
                  <c:v>110833</c:v>
                </c:pt>
                <c:pt idx="11">
                  <c:v>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8E-4EAF-B1E1-FEDAC614F5D3}"/>
            </c:ext>
          </c:extLst>
        </c:ser>
        <c:ser>
          <c:idx val="1"/>
          <c:order val="1"/>
          <c:tx>
            <c:v>Real</c:v>
          </c:tx>
          <c:invertIfNegative val="0"/>
          <c:cat>
            <c:strRef>
              <c:f>Presupuesto!$B$1:$M$1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Real!$B$2:$M$2</c:f>
              <c:numCache>
                <c:formatCode>General</c:formatCode>
                <c:ptCount val="12"/>
                <c:pt idx="0">
                  <c:v>88667</c:v>
                </c:pt>
                <c:pt idx="1">
                  <c:v>96192</c:v>
                </c:pt>
                <c:pt idx="2">
                  <c:v>113050</c:v>
                </c:pt>
                <c:pt idx="3">
                  <c:v>122500</c:v>
                </c:pt>
                <c:pt idx="4">
                  <c:v>120050</c:v>
                </c:pt>
                <c:pt idx="5">
                  <c:v>132183</c:v>
                </c:pt>
                <c:pt idx="6">
                  <c:v>151200</c:v>
                </c:pt>
                <c:pt idx="7">
                  <c:v>142217</c:v>
                </c:pt>
                <c:pt idx="8">
                  <c:v>107333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8E-4EAF-B1E1-FEDAC614F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404511"/>
        <c:axId val="1233415023"/>
      </c:barChart>
      <c:catAx>
        <c:axId val="1283404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3415023"/>
        <c:crosses val="autoZero"/>
        <c:auto val="1"/>
        <c:lblAlgn val="ctr"/>
        <c:lblOffset val="100"/>
        <c:noMultiLvlLbl val="0"/>
      </c:catAx>
      <c:valAx>
        <c:axId val="12334150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34045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Ventas mensuales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Presupuesto</c:v>
          </c:tx>
          <c:spPr>
            <a:solidFill>
              <a:srgbClr val="A6A6A6"/>
            </a:solidFill>
            <a:ln>
              <a:solidFill>
                <a:srgbClr val="A6A6A6"/>
              </a:solidFill>
            </a:ln>
          </c:spPr>
          <c:invertIfNegative val="0"/>
          <c:cat>
            <c:strRef>
              <c:f>DatosCuadro!$A$2:$A$13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DatosCuadro!$B$2:$B$13</c:f>
              <c:numCache>
                <c:formatCode>#,##0</c:formatCode>
                <c:ptCount val="12"/>
                <c:pt idx="0">
                  <c:v>93333</c:v>
                </c:pt>
                <c:pt idx="1">
                  <c:v>99167</c:v>
                </c:pt>
                <c:pt idx="2">
                  <c:v>110833</c:v>
                </c:pt>
                <c:pt idx="3">
                  <c:v>116667</c:v>
                </c:pt>
                <c:pt idx="4">
                  <c:v>122500</c:v>
                </c:pt>
                <c:pt idx="5">
                  <c:v>128333</c:v>
                </c:pt>
                <c:pt idx="6">
                  <c:v>140000</c:v>
                </c:pt>
                <c:pt idx="7">
                  <c:v>134167</c:v>
                </c:pt>
                <c:pt idx="8">
                  <c:v>116667</c:v>
                </c:pt>
                <c:pt idx="9">
                  <c:v>110833</c:v>
                </c:pt>
                <c:pt idx="10">
                  <c:v>110833</c:v>
                </c:pt>
                <c:pt idx="11">
                  <c:v>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9-42FD-86DF-D6A30DCB0E39}"/>
            </c:ext>
          </c:extLst>
        </c:ser>
        <c:ser>
          <c:idx val="1"/>
          <c:order val="1"/>
          <c:tx>
            <c:v>Real</c:v>
          </c:tx>
          <c:spPr>
            <a:solidFill>
              <a:srgbClr val="1F4E79"/>
            </a:solidFill>
            <a:ln>
              <a:solidFill>
                <a:srgbClr val="1F4E79"/>
              </a:solidFill>
            </a:ln>
          </c:spPr>
          <c:invertIfNegative val="0"/>
          <c:cat>
            <c:strRef>
              <c:f>DatosCuadro!$A$2:$A$13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DatosCuadro!$C$2:$C$13</c:f>
              <c:numCache>
                <c:formatCode>#,##0</c:formatCode>
                <c:ptCount val="12"/>
                <c:pt idx="0">
                  <c:v>88667</c:v>
                </c:pt>
                <c:pt idx="1">
                  <c:v>96192</c:v>
                </c:pt>
                <c:pt idx="2">
                  <c:v>113050</c:v>
                </c:pt>
                <c:pt idx="3">
                  <c:v>122500</c:v>
                </c:pt>
                <c:pt idx="4">
                  <c:v>120050</c:v>
                </c:pt>
                <c:pt idx="5">
                  <c:v>132183</c:v>
                </c:pt>
                <c:pt idx="6">
                  <c:v>151200</c:v>
                </c:pt>
                <c:pt idx="7">
                  <c:v>142217</c:v>
                </c:pt>
                <c:pt idx="8">
                  <c:v>107333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9-42FD-86DF-D6A30DCB0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599487"/>
        <c:axId val="1233559503"/>
      </c:barChart>
      <c:catAx>
        <c:axId val="762599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3559503"/>
        <c:crosses val="autoZero"/>
        <c:auto val="1"/>
        <c:lblAlgn val="ctr"/>
        <c:lblOffset val="100"/>
        <c:noMultiLvlLbl val="0"/>
      </c:catAx>
      <c:valAx>
        <c:axId val="1233559503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62599487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Resultado acumulado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Presupuesto</c:v>
          </c:tx>
          <c:spPr>
            <a:ln>
              <a:solidFill>
                <a:srgbClr val="A6A6A6"/>
              </a:solidFill>
            </a:ln>
          </c:spPr>
          <c:marker>
            <c:spPr>
              <a:solidFill>
                <a:srgbClr val="A6A6A6"/>
              </a:solidFill>
              <a:ln>
                <a:solidFill>
                  <a:srgbClr val="A6A6A6"/>
                </a:solidFill>
              </a:ln>
            </c:spPr>
          </c:marker>
          <c:cat>
            <c:strRef>
              <c:f>DatosCuadro!$A$2:$A$13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DatosCuadro!$D$2:$D$13</c:f>
              <c:numCache>
                <c:formatCode>#,##0</c:formatCode>
                <c:ptCount val="12"/>
                <c:pt idx="0">
                  <c:v>7800</c:v>
                </c:pt>
                <c:pt idx="1">
                  <c:v>18225</c:v>
                </c:pt>
                <c:pt idx="2">
                  <c:v>33900</c:v>
                </c:pt>
                <c:pt idx="3">
                  <c:v>52200</c:v>
                </c:pt>
                <c:pt idx="4">
                  <c:v>73125</c:v>
                </c:pt>
                <c:pt idx="5">
                  <c:v>96675</c:v>
                </c:pt>
                <c:pt idx="6">
                  <c:v>125475</c:v>
                </c:pt>
                <c:pt idx="7">
                  <c:v>151650</c:v>
                </c:pt>
                <c:pt idx="8">
                  <c:v>169950</c:v>
                </c:pt>
                <c:pt idx="9">
                  <c:v>185625</c:v>
                </c:pt>
                <c:pt idx="10">
                  <c:v>201300</c:v>
                </c:pt>
                <c:pt idx="11">
                  <c:v>219600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E-42FD-AF0F-EDAE08DBA1EC}"/>
            </c:ext>
          </c:extLst>
        </c:ser>
        <c:ser>
          <c:idx val="1"/>
          <c:order val="1"/>
          <c:tx>
            <c:v>Real</c:v>
          </c:tx>
          <c:spPr>
            <a:ln>
              <a:solidFill>
                <a:srgbClr val="1F4E79"/>
              </a:solidFill>
            </a:ln>
          </c:spPr>
          <c:marker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cat>
            <c:strRef>
              <c:f>DatosCuadro!$A$2:$A$13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DatosCuadro!$E$2:$E$13</c:f>
              <c:numCache>
                <c:formatCode>#,##0</c:formatCode>
                <c:ptCount val="12"/>
                <c:pt idx="0">
                  <c:v>3577</c:v>
                </c:pt>
                <c:pt idx="1">
                  <c:v>10390</c:v>
                </c:pt>
                <c:pt idx="2">
                  <c:v>24452</c:v>
                </c:pt>
                <c:pt idx="3">
                  <c:v>42577</c:v>
                </c:pt>
                <c:pt idx="4">
                  <c:v>59649</c:v>
                </c:pt>
                <c:pt idx="5">
                  <c:v>81938</c:v>
                </c:pt>
                <c:pt idx="6">
                  <c:v>109404</c:v>
                </c:pt>
                <c:pt idx="7">
                  <c:v>133008</c:v>
                </c:pt>
                <c:pt idx="8">
                  <c:v>144611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2E-42FD-AF0F-EDAE08DBA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590671"/>
        <c:axId val="1233573903"/>
      </c:lineChart>
      <c:catAx>
        <c:axId val="762590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3573903"/>
        <c:crosses val="autoZero"/>
        <c:auto val="1"/>
        <c:lblAlgn val="ctr"/>
        <c:lblOffset val="100"/>
        <c:noMultiLvlLbl val="0"/>
      </c:catAx>
      <c:valAx>
        <c:axId val="1233573903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6259067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Desviación acumulada por epígrafe (€)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Desviación</c:v>
          </c:tx>
          <c:spPr>
            <a:solidFill>
              <a:srgbClr val="1F4E79"/>
            </a:solidFill>
            <a:ln>
              <a:solidFill>
                <a:srgbClr val="1F4E79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8000"/>
              </a:solidFill>
              <a:ln>
                <a:solidFill>
                  <a:srgbClr val="1F4E7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96CA-4B0F-BB55-8644AB2338CD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1F4E7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96CA-4B0F-BB55-8644AB2338CD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1F4E7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96CA-4B0F-BB55-8644AB2338C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1F4E7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96CA-4B0F-BB55-8644AB2338CD}"/>
              </c:ext>
            </c:extLst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>
                <a:solidFill>
                  <a:srgbClr val="1F4E7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96CA-4B0F-BB55-8644AB2338CD}"/>
              </c:ext>
            </c:extLst>
          </c:dPt>
          <c:cat>
            <c:strRef>
              <c:f>DatosCuadro!$G$2:$G$6</c:f>
              <c:strCache>
                <c:ptCount val="5"/>
                <c:pt idx="0">
                  <c:v>Importe neto de la cifra de negocios</c:v>
                </c:pt>
                <c:pt idx="1">
                  <c:v>Aprovisionamientos</c:v>
                </c:pt>
                <c:pt idx="2">
                  <c:v>Gastos de personal</c:v>
                </c:pt>
                <c:pt idx="3">
                  <c:v>Otros gastos de explotación</c:v>
                </c:pt>
                <c:pt idx="4">
                  <c:v>Amortización del inmovilizado</c:v>
                </c:pt>
              </c:strCache>
            </c:strRef>
          </c:cat>
          <c:val>
            <c:numRef>
              <c:f>DatosCuadro!$H$2:$H$6</c:f>
              <c:numCache>
                <c:formatCode>#,##0</c:formatCode>
                <c:ptCount val="5"/>
                <c:pt idx="0">
                  <c:v>11725</c:v>
                </c:pt>
                <c:pt idx="1">
                  <c:v>-27914</c:v>
                </c:pt>
                <c:pt idx="2">
                  <c:v>-6000</c:v>
                </c:pt>
                <c:pt idx="3">
                  <c:v>-3150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A-4B0F-BB55-8644AB233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599023"/>
        <c:axId val="1233575343"/>
      </c:barChart>
      <c:catAx>
        <c:axId val="7625990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crossAx val="1233575343"/>
        <c:crosses val="autoZero"/>
        <c:auto val="1"/>
        <c:lblAlgn val="ctr"/>
        <c:lblOffset val="100"/>
        <c:noMultiLvlLbl val="0"/>
      </c:catAx>
      <c:valAx>
        <c:axId val="1233575343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7625990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Portada'!A1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237672</xdr:colOff>
      <xdr:row>2</xdr:row>
      <xdr:rowOff>112486</xdr:rowOff>
    </xdr:from>
    <xdr:to>
      <xdr:col>5</xdr:col>
      <xdr:colOff>1825172</xdr:colOff>
      <xdr:row>2</xdr:row>
      <xdr:rowOff>442686</xdr:rowOff>
    </xdr:to>
    <xdr:sp macro="CrearPort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E4E15E6-50B8-8AC3-F793-E56CF85C2B4B}"/>
            </a:ext>
          </a:extLst>
        </xdr:cNvPr>
        <xdr:cNvSpPr/>
      </xdr:nvSpPr>
      <xdr:spPr>
        <a:xfrm>
          <a:off x="6567715" y="422729"/>
          <a:ext cx="1587500" cy="3302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1F3864"/>
              </a:solidFill>
              <a:latin typeface="Calibri" panose="020F0502020204030204" pitchFamily="34" charset="0"/>
            </a:rPr>
            <a:t>Actualizar 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746627</xdr:colOff>
      <xdr:row>0</xdr:row>
      <xdr:rowOff>25400</xdr:rowOff>
    </xdr:from>
    <xdr:to>
      <xdr:col>15</xdr:col>
      <xdr:colOff>323611</xdr:colOff>
      <xdr:row>1</xdr:row>
      <xdr:rowOff>123372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CD71F09C-27EE-4C68-3117-C1137DDCB4EC}"/>
            </a:ext>
          </a:extLst>
        </xdr:cNvPr>
        <xdr:cNvSpPr/>
      </xdr:nvSpPr>
      <xdr:spPr>
        <a:xfrm>
          <a:off x="12883243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17455</xdr:colOff>
      <xdr:row>0</xdr:row>
      <xdr:rowOff>25400</xdr:rowOff>
    </xdr:from>
    <xdr:to>
      <xdr:col>15</xdr:col>
      <xdr:colOff>372179</xdr:colOff>
      <xdr:row>1</xdr:row>
      <xdr:rowOff>117116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C5F7D94-6EA1-CA84-7C70-C972F0753AE4}"/>
            </a:ext>
          </a:extLst>
        </xdr:cNvPr>
        <xdr:cNvSpPr/>
      </xdr:nvSpPr>
      <xdr:spPr>
        <a:xfrm>
          <a:off x="12883243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6</xdr:col>
      <xdr:colOff>892629</xdr:colOff>
      <xdr:row>30</xdr:row>
      <xdr:rowOff>156029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96748D-3D64-D503-4983-3CB8BB565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753876</xdr:colOff>
      <xdr:row>0</xdr:row>
      <xdr:rowOff>25400</xdr:rowOff>
    </xdr:from>
    <xdr:to>
      <xdr:col>12</xdr:col>
      <xdr:colOff>337131</xdr:colOff>
      <xdr:row>1</xdr:row>
      <xdr:rowOff>69213</xdr:rowOff>
    </xdr:to>
    <xdr:sp macro="" textlink="">
      <xdr:nvSpPr>
        <xdr:cNvPr id="3" name="btnVolverPortada">
          <a:hlinkClick xmlns:r="http://schemas.openxmlformats.org/officeDocument/2006/relationships" r:id="rId2" tooltip="Volver a la portada"/>
          <a:extLst>
            <a:ext uri="{FF2B5EF4-FFF2-40B4-BE49-F238E27FC236}">
              <a16:creationId xmlns:a16="http://schemas.microsoft.com/office/drawing/2014/main" id="{EF0ACFEB-8BE2-22DA-6A1D-CE6E9540711E}"/>
            </a:ext>
          </a:extLst>
        </xdr:cNvPr>
        <xdr:cNvSpPr/>
      </xdr:nvSpPr>
      <xdr:spPr>
        <a:xfrm>
          <a:off x="11103428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2</xdr:row>
      <xdr:rowOff>25400</xdr:rowOff>
    </xdr:from>
    <xdr:to>
      <xdr:col>5</xdr:col>
      <xdr:colOff>188686</xdr:colOff>
      <xdr:row>2</xdr:row>
      <xdr:rowOff>279400</xdr:rowOff>
    </xdr:to>
    <xdr:sp macro="ActualizarCuadro" textlink="">
      <xdr:nvSpPr>
        <xdr:cNvPr id="2" name="btnActualizar">
          <a:extLst>
            <a:ext uri="{FF2B5EF4-FFF2-40B4-BE49-F238E27FC236}">
              <a16:creationId xmlns:a16="http://schemas.microsoft.com/office/drawing/2014/main" id="{10C13140-BBC2-C89B-4E53-D27CE3C94878}"/>
            </a:ext>
          </a:extLst>
        </xdr:cNvPr>
        <xdr:cNvSpPr/>
      </xdr:nvSpPr>
      <xdr:spPr>
        <a:xfrm>
          <a:off x="1908629" y="504371"/>
          <a:ext cx="1143000" cy="2540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>
              <a:solidFill>
                <a:srgbClr val="FFFFFF"/>
              </a:solidFill>
            </a:rPr>
            <a:t>Actualizar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3" name="grafVentas">
          <a:extLst>
            <a:ext uri="{FF2B5EF4-FFF2-40B4-BE49-F238E27FC236}">
              <a16:creationId xmlns:a16="http://schemas.microsoft.com/office/drawing/2014/main" id="{86055008-40FB-7141-1E18-FD774B115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0</xdr:rowOff>
    </xdr:from>
    <xdr:to>
      <xdr:col>16</xdr:col>
      <xdr:colOff>1</xdr:colOff>
      <xdr:row>25</xdr:row>
      <xdr:rowOff>0</xdr:rowOff>
    </xdr:to>
    <xdr:graphicFrame macro="">
      <xdr:nvGraphicFramePr>
        <xdr:cNvPr id="4" name="grafResultado">
          <a:extLst>
            <a:ext uri="{FF2B5EF4-FFF2-40B4-BE49-F238E27FC236}">
              <a16:creationId xmlns:a16="http://schemas.microsoft.com/office/drawing/2014/main" id="{48EACB37-9FE2-1BF5-9042-B16293C6F0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16</xdr:col>
      <xdr:colOff>1</xdr:colOff>
      <xdr:row>41</xdr:row>
      <xdr:rowOff>185057</xdr:rowOff>
    </xdr:to>
    <xdr:graphicFrame macro="">
      <xdr:nvGraphicFramePr>
        <xdr:cNvPr id="5" name="grafDesv">
          <a:extLst>
            <a:ext uri="{FF2B5EF4-FFF2-40B4-BE49-F238E27FC236}">
              <a16:creationId xmlns:a16="http://schemas.microsoft.com/office/drawing/2014/main" id="{B99CF146-AFD9-B0C4-D60F-779DE5DA8A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0</xdr:row>
      <xdr:rowOff>25400</xdr:rowOff>
    </xdr:from>
    <xdr:to>
      <xdr:col>7</xdr:col>
      <xdr:colOff>359229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2081732D-ED4B-255C-E6AB-06C1C8F410D9}"/>
            </a:ext>
          </a:extLst>
        </xdr:cNvPr>
        <xdr:cNvSpPr/>
      </xdr:nvSpPr>
      <xdr:spPr>
        <a:xfrm>
          <a:off x="8882743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61DE5-C442-4A99-A6DC-BBEDB40170F7}">
  <sheetPr codeName="Hoja12">
    <tabColor rgb="FF1F3864"/>
  </sheetPr>
  <dimension ref="B2:F35"/>
  <sheetViews>
    <sheetView showGridLines="0" showRowColHeaders="0" topLeftCell="A2" zoomScale="51" zoomScaleNormal="100" workbookViewId="0">
      <selection activeCell="I18" sqref="I18"/>
    </sheetView>
  </sheetViews>
  <sheetFormatPr baseColWidth="10" defaultRowHeight="14.6" x14ac:dyDescent="0.4"/>
  <cols>
    <col min="1" max="1" width="2.69140625" style="78" customWidth="1"/>
    <col min="2" max="2" width="6.69140625" style="78" customWidth="1"/>
    <col min="3" max="6" width="26.69140625" style="78" customWidth="1"/>
    <col min="7" max="7" width="2.69140625" style="78" customWidth="1"/>
    <col min="8" max="16384" width="11.07421875" style="78"/>
  </cols>
  <sheetData>
    <row r="2" spans="2:6" ht="10" customHeight="1" x14ac:dyDescent="0.4">
      <c r="B2" s="79"/>
      <c r="C2" s="79"/>
      <c r="D2" s="79"/>
      <c r="E2" s="79"/>
      <c r="F2" s="79"/>
    </row>
    <row r="3" spans="2:6" ht="44.05" customHeight="1" x14ac:dyDescent="0.4">
      <c r="B3" s="81" t="s">
        <v>89</v>
      </c>
      <c r="C3" s="79"/>
      <c r="D3" s="79"/>
      <c r="E3" s="79"/>
      <c r="F3" s="79"/>
    </row>
    <row r="4" spans="2:6" ht="22" customHeight="1" x14ac:dyDescent="0.4">
      <c r="B4" s="82" t="s">
        <v>90</v>
      </c>
      <c r="C4" s="79"/>
      <c r="D4" s="79"/>
      <c r="E4" s="79"/>
      <c r="F4" s="79"/>
    </row>
    <row r="5" spans="2:6" ht="20.05" customHeight="1" x14ac:dyDescent="0.4">
      <c r="B5" s="83" t="s">
        <v>91</v>
      </c>
      <c r="C5" s="79"/>
      <c r="D5" s="79"/>
      <c r="E5" s="79"/>
      <c r="F5" s="79"/>
    </row>
    <row r="6" spans="2:6" ht="10" customHeight="1" x14ac:dyDescent="0.4">
      <c r="B6" s="79"/>
      <c r="C6" s="79"/>
      <c r="D6" s="79"/>
      <c r="E6" s="79"/>
      <c r="F6" s="79"/>
    </row>
    <row r="7" spans="2:6" ht="4" customHeight="1" x14ac:dyDescent="0.4">
      <c r="B7" s="80"/>
      <c r="C7" s="80"/>
      <c r="D7" s="80"/>
      <c r="E7" s="80"/>
      <c r="F7" s="80"/>
    </row>
    <row r="9" spans="2:6" ht="24" customHeight="1" thickBot="1" x14ac:dyDescent="0.45">
      <c r="B9" s="84" t="s">
        <v>92</v>
      </c>
      <c r="C9" s="85"/>
      <c r="D9" s="85"/>
      <c r="E9" s="85"/>
      <c r="F9" s="85"/>
    </row>
    <row r="10" spans="2:6" ht="8.0500000000000007" customHeight="1" x14ac:dyDescent="0.4"/>
    <row r="11" spans="2:6" ht="22" customHeight="1" x14ac:dyDescent="0.4">
      <c r="C11" s="88" t="s">
        <v>39</v>
      </c>
      <c r="D11" s="88" t="s">
        <v>41</v>
      </c>
      <c r="E11" s="88" t="s">
        <v>43</v>
      </c>
      <c r="F11" s="86" t="s">
        <v>93</v>
      </c>
    </row>
    <row r="12" spans="2:6" ht="36" customHeight="1" x14ac:dyDescent="0.4">
      <c r="C12" s="89">
        <v>1073392</v>
      </c>
      <c r="D12" s="91">
        <v>0.43000227316767781</v>
      </c>
      <c r="E12" s="89">
        <v>144611</v>
      </c>
      <c r="F12" s="87">
        <v>194261</v>
      </c>
    </row>
    <row r="13" spans="2:6" ht="22" customHeight="1" x14ac:dyDescent="0.4">
      <c r="C13" s="90">
        <v>1.1043952576467009E-2</v>
      </c>
      <c r="D13" s="92">
        <v>-1.9997585545082408</v>
      </c>
      <c r="E13" s="90">
        <v>-0.14909679317446309</v>
      </c>
      <c r="F13" s="93">
        <v>-0.11538706739526412</v>
      </c>
    </row>
    <row r="15" spans="2:6" ht="24" customHeight="1" thickBot="1" x14ac:dyDescent="0.45">
      <c r="B15" s="84" t="s">
        <v>94</v>
      </c>
      <c r="C15" s="85"/>
      <c r="D15" s="85"/>
      <c r="E15" s="85"/>
      <c r="F15" s="85"/>
    </row>
    <row r="16" spans="2:6" ht="8.0500000000000007" customHeight="1" x14ac:dyDescent="0.4"/>
    <row r="17" spans="2:6" x14ac:dyDescent="0.4">
      <c r="B17" s="94" t="s">
        <v>95</v>
      </c>
      <c r="C17" s="95" t="s">
        <v>96</v>
      </c>
      <c r="D17" s="95" t="s">
        <v>97</v>
      </c>
      <c r="E17" s="95"/>
      <c r="F17" s="95" t="s">
        <v>98</v>
      </c>
    </row>
    <row r="18" spans="2:6" ht="36" customHeight="1" x14ac:dyDescent="0.4">
      <c r="B18" s="96">
        <v>1</v>
      </c>
      <c r="C18" s="97" t="s">
        <v>99</v>
      </c>
      <c r="D18" s="98" t="s">
        <v>100</v>
      </c>
      <c r="E18" s="98"/>
      <c r="F18" s="99" t="s">
        <v>101</v>
      </c>
    </row>
    <row r="19" spans="2:6" ht="36" customHeight="1" x14ac:dyDescent="0.4">
      <c r="B19" s="100">
        <v>2</v>
      </c>
      <c r="C19" s="101" t="s">
        <v>102</v>
      </c>
      <c r="D19" s="102" t="s">
        <v>103</v>
      </c>
      <c r="E19" s="102"/>
      <c r="F19" s="103" t="s">
        <v>104</v>
      </c>
    </row>
    <row r="20" spans="2:6" ht="36" customHeight="1" x14ac:dyDescent="0.4">
      <c r="B20" s="108">
        <v>3</v>
      </c>
      <c r="C20" s="109" t="s">
        <v>105</v>
      </c>
      <c r="D20" s="110" t="s">
        <v>106</v>
      </c>
      <c r="E20" s="110"/>
      <c r="F20" s="111" t="s">
        <v>107</v>
      </c>
    </row>
    <row r="21" spans="2:6" ht="36" customHeight="1" x14ac:dyDescent="0.4">
      <c r="B21" s="100">
        <v>4</v>
      </c>
      <c r="C21" s="101" t="s">
        <v>108</v>
      </c>
      <c r="D21" s="102" t="s">
        <v>109</v>
      </c>
      <c r="E21" s="102"/>
      <c r="F21" s="103" t="s">
        <v>110</v>
      </c>
    </row>
    <row r="22" spans="2:6" ht="36" customHeight="1" x14ac:dyDescent="0.4">
      <c r="B22" s="108">
        <v>5</v>
      </c>
      <c r="C22" s="109" t="s">
        <v>21</v>
      </c>
      <c r="D22" s="110" t="s">
        <v>111</v>
      </c>
      <c r="E22" s="110"/>
      <c r="F22" s="111" t="s">
        <v>110</v>
      </c>
    </row>
    <row r="23" spans="2:6" ht="36" customHeight="1" x14ac:dyDescent="0.4">
      <c r="B23" s="100">
        <v>6</v>
      </c>
      <c r="C23" s="101" t="s">
        <v>112</v>
      </c>
      <c r="D23" s="102" t="s">
        <v>113</v>
      </c>
      <c r="E23" s="102"/>
      <c r="F23" s="103" t="s">
        <v>114</v>
      </c>
    </row>
    <row r="24" spans="2:6" ht="36" customHeight="1" x14ac:dyDescent="0.4">
      <c r="B24" s="104">
        <v>7</v>
      </c>
      <c r="C24" s="105" t="s">
        <v>115</v>
      </c>
      <c r="D24" s="106" t="s">
        <v>116</v>
      </c>
      <c r="E24" s="106"/>
      <c r="F24" s="107" t="s">
        <v>117</v>
      </c>
    </row>
    <row r="26" spans="2:6" ht="24" customHeight="1" thickBot="1" x14ac:dyDescent="0.45">
      <c r="B26" s="84" t="s">
        <v>118</v>
      </c>
      <c r="C26" s="85"/>
      <c r="D26" s="85"/>
      <c r="E26" s="85"/>
      <c r="F26" s="85"/>
    </row>
    <row r="27" spans="2:6" ht="8.0500000000000007" customHeight="1" x14ac:dyDescent="0.4"/>
    <row r="28" spans="2:6" ht="19" customHeight="1" x14ac:dyDescent="0.4">
      <c r="B28" s="53">
        <v>1</v>
      </c>
      <c r="C28" s="112" t="s">
        <v>119</v>
      </c>
      <c r="D28" s="112"/>
      <c r="E28" s="112"/>
      <c r="F28" s="112"/>
    </row>
    <row r="29" spans="2:6" ht="34" customHeight="1" x14ac:dyDescent="0.4">
      <c r="B29" s="53">
        <v>2</v>
      </c>
      <c r="C29" s="112" t="s">
        <v>120</v>
      </c>
      <c r="D29" s="112"/>
      <c r="E29" s="112"/>
      <c r="F29" s="112"/>
    </row>
    <row r="30" spans="2:6" ht="34" customHeight="1" x14ac:dyDescent="0.4">
      <c r="B30" s="53">
        <v>3</v>
      </c>
      <c r="C30" s="112" t="s">
        <v>121</v>
      </c>
      <c r="D30" s="112"/>
      <c r="E30" s="112"/>
      <c r="F30" s="112"/>
    </row>
    <row r="31" spans="2:6" ht="49" customHeight="1" x14ac:dyDescent="0.4">
      <c r="B31" s="53">
        <v>4</v>
      </c>
      <c r="C31" s="112" t="s">
        <v>122</v>
      </c>
      <c r="D31" s="112"/>
      <c r="E31" s="112"/>
      <c r="F31" s="112"/>
    </row>
    <row r="32" spans="2:6" ht="34" customHeight="1" x14ac:dyDescent="0.4">
      <c r="B32" s="53">
        <v>5</v>
      </c>
      <c r="C32" s="112" t="s">
        <v>123</v>
      </c>
      <c r="D32" s="112"/>
      <c r="E32" s="112"/>
      <c r="F32" s="112"/>
    </row>
    <row r="33" spans="2:6" ht="19" customHeight="1" x14ac:dyDescent="0.4">
      <c r="B33" s="53">
        <v>6</v>
      </c>
      <c r="C33" s="112" t="s">
        <v>124</v>
      </c>
      <c r="D33" s="112"/>
      <c r="E33" s="112"/>
      <c r="F33" s="112"/>
    </row>
    <row r="35" spans="2:6" x14ac:dyDescent="0.4">
      <c r="B35" s="114" t="s">
        <v>125</v>
      </c>
      <c r="C35" s="113"/>
      <c r="D35" s="113"/>
      <c r="E35" s="113"/>
      <c r="F35" s="113"/>
    </row>
  </sheetData>
  <mergeCells count="13">
    <mergeCell ref="C33:F33"/>
    <mergeCell ref="D24:E24"/>
    <mergeCell ref="C28:F28"/>
    <mergeCell ref="C29:F29"/>
    <mergeCell ref="C30:F30"/>
    <mergeCell ref="C31:F31"/>
    <mergeCell ref="C32:F32"/>
    <mergeCell ref="D18:E18"/>
    <mergeCell ref="D19:E19"/>
    <mergeCell ref="D20:E20"/>
    <mergeCell ref="D21:E21"/>
    <mergeCell ref="D22:E22"/>
    <mergeCell ref="D23:E23"/>
  </mergeCells>
  <hyperlinks>
    <hyperlink ref="C18" location="'CuadroMando'!A1" tooltip="Ir a la hoja CuadroMando" display="CuadroMando" xr:uid="{1901DA0C-6548-4EAA-B69D-FC69116F5B29}"/>
    <hyperlink ref="C19" location="'Conclusiones'!A1" tooltip="Ir a la hoja Conclusiones" display="Conclusiones" xr:uid="{7D187A00-271B-4D28-9613-1A1636B5EB59}"/>
    <hyperlink ref="C20" location="'Desviaciones'!A1" tooltip="Ir a la hoja Desviaciones" display="Desviaciones" xr:uid="{40C82DB1-D134-4244-BC71-A87C1C6D7779}"/>
    <hyperlink ref="C21" location="'Presupuesto'!A1" tooltip="Ir a la hoja Presupuesto" display="Presupuesto" xr:uid="{70339728-0EF6-4A34-A746-7B4162F87078}"/>
    <hyperlink ref="C22" location="'Real'!A1" tooltip="Ir a la hoja Real" display="Real" xr:uid="{0B6453DC-2FA4-46D7-8976-C89A199328A5}"/>
    <hyperlink ref="C23" location="'DatosCuadro'!A1" tooltip="Ir a la hoja DatosCuadro" display="DatosCuadro" xr:uid="{8BB8C8A5-A862-40BD-B64B-95EDA0181A7E}"/>
    <hyperlink ref="C24" location="'Inicio'!A1" tooltip="Ir a la hoja Inicio" display="Inicio" xr:uid="{60276C52-B39D-419C-A24A-EF4CD3EB915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1401B-6DEB-41DE-A699-1E2CEACA88FC}">
  <sheetPr codeName="Hoja2"/>
  <dimension ref="A1:M10"/>
  <sheetViews>
    <sheetView zoomScale="57" workbookViewId="0"/>
  </sheetViews>
  <sheetFormatPr baseColWidth="10" defaultRowHeight="14.6" x14ac:dyDescent="0.4"/>
  <cols>
    <col min="1" max="1" width="30.69140625" bestFit="1" customWidth="1"/>
    <col min="2" max="13" width="11.69140625" customWidth="1"/>
  </cols>
  <sheetData>
    <row r="1" spans="1:13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4">
      <c r="A2" t="s">
        <v>13</v>
      </c>
      <c r="B2" s="2">
        <v>93333</v>
      </c>
      <c r="C2" s="2">
        <v>99167</v>
      </c>
      <c r="D2" s="2">
        <v>110833</v>
      </c>
      <c r="E2" s="2">
        <v>116667</v>
      </c>
      <c r="F2" s="2">
        <v>122500</v>
      </c>
      <c r="G2" s="2">
        <v>128333</v>
      </c>
      <c r="H2" s="2">
        <v>140000</v>
      </c>
      <c r="I2" s="2">
        <v>134167</v>
      </c>
      <c r="J2" s="2">
        <v>116667</v>
      </c>
      <c r="K2" s="2">
        <v>110833</v>
      </c>
      <c r="L2" s="2">
        <v>110833</v>
      </c>
      <c r="M2" s="2">
        <v>116667</v>
      </c>
    </row>
    <row r="3" spans="1:13" x14ac:dyDescent="0.4">
      <c r="A3" t="s">
        <v>14</v>
      </c>
      <c r="B3" s="2">
        <v>-51333</v>
      </c>
      <c r="C3" s="2">
        <v>-54542</v>
      </c>
      <c r="D3" s="2">
        <v>-60958</v>
      </c>
      <c r="E3" s="2">
        <v>-64167</v>
      </c>
      <c r="F3" s="2">
        <v>-67375</v>
      </c>
      <c r="G3" s="2">
        <v>-70583</v>
      </c>
      <c r="H3" s="2">
        <v>-77000</v>
      </c>
      <c r="I3" s="2">
        <v>-73792</v>
      </c>
      <c r="J3" s="2">
        <v>-64167</v>
      </c>
      <c r="K3" s="2">
        <v>-60958</v>
      </c>
      <c r="L3" s="2">
        <v>-60958</v>
      </c>
      <c r="M3" s="2">
        <v>-64167</v>
      </c>
    </row>
    <row r="4" spans="1:13" x14ac:dyDescent="0.4">
      <c r="A4" t="s">
        <v>15</v>
      </c>
      <c r="B4" s="2">
        <v>-28000</v>
      </c>
      <c r="C4" s="2">
        <v>-28000</v>
      </c>
      <c r="D4" s="2">
        <v>-28000</v>
      </c>
      <c r="E4" s="2">
        <v>-28000</v>
      </c>
      <c r="F4" s="2">
        <v>-28000</v>
      </c>
      <c r="G4" s="2">
        <v>-28000</v>
      </c>
      <c r="H4" s="2">
        <v>-28000</v>
      </c>
      <c r="I4" s="2">
        <v>-28000</v>
      </c>
      <c r="J4" s="2">
        <v>-28000</v>
      </c>
      <c r="K4" s="2">
        <v>-28000</v>
      </c>
      <c r="L4" s="2">
        <v>-28000</v>
      </c>
      <c r="M4" s="2">
        <v>-28000</v>
      </c>
    </row>
    <row r="5" spans="1:13" x14ac:dyDescent="0.4">
      <c r="A5" t="s">
        <v>16</v>
      </c>
      <c r="B5" s="2">
        <v>-3500</v>
      </c>
      <c r="C5" s="2">
        <v>-3500</v>
      </c>
      <c r="D5" s="2">
        <v>-3500</v>
      </c>
      <c r="E5" s="2">
        <v>-3500</v>
      </c>
      <c r="F5" s="2">
        <v>-3500</v>
      </c>
      <c r="G5" s="2">
        <v>-3500</v>
      </c>
      <c r="H5" s="2">
        <v>-3500</v>
      </c>
      <c r="I5" s="2">
        <v>-3500</v>
      </c>
      <c r="J5" s="2">
        <v>-3500</v>
      </c>
      <c r="K5" s="2">
        <v>-3500</v>
      </c>
      <c r="L5" s="2">
        <v>-3500</v>
      </c>
      <c r="M5" s="2">
        <v>-3500</v>
      </c>
    </row>
    <row r="6" spans="1:13" x14ac:dyDescent="0.4">
      <c r="A6" t="s">
        <v>17</v>
      </c>
      <c r="B6" s="2">
        <v>-2700</v>
      </c>
      <c r="C6" s="2">
        <v>-2700</v>
      </c>
      <c r="D6" s="2">
        <v>-2700</v>
      </c>
      <c r="E6" s="2">
        <v>-2700</v>
      </c>
      <c r="F6" s="2">
        <v>-2700</v>
      </c>
      <c r="G6" s="2">
        <v>-2700</v>
      </c>
      <c r="H6" s="2">
        <v>-2700</v>
      </c>
      <c r="I6" s="2">
        <v>-2700</v>
      </c>
      <c r="J6" s="2">
        <v>-2700</v>
      </c>
      <c r="K6" s="2">
        <v>-2700</v>
      </c>
      <c r="L6" s="2">
        <v>-2700</v>
      </c>
      <c r="M6" s="2">
        <v>-2700</v>
      </c>
    </row>
    <row r="7" spans="1:13" x14ac:dyDescent="0.4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617A3-2D6B-4E40-9A10-9E19F88D9E0F}">
  <sheetPr codeName="Hoja3"/>
  <dimension ref="A1:M10"/>
  <sheetViews>
    <sheetView zoomScale="58" workbookViewId="0"/>
  </sheetViews>
  <sheetFormatPr baseColWidth="10" defaultRowHeight="14.6" x14ac:dyDescent="0.4"/>
  <cols>
    <col min="1" max="1" width="30.69140625" bestFit="1" customWidth="1"/>
    <col min="2" max="13" width="11.69140625" customWidth="1"/>
  </cols>
  <sheetData>
    <row r="1" spans="1:13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4">
      <c r="A2" t="s">
        <v>13</v>
      </c>
      <c r="B2" s="2">
        <v>88667</v>
      </c>
      <c r="C2" s="2">
        <v>96192</v>
      </c>
      <c r="D2" s="2">
        <v>113050</v>
      </c>
      <c r="E2" s="2">
        <v>122500</v>
      </c>
      <c r="F2" s="2">
        <v>120050</v>
      </c>
      <c r="G2" s="2">
        <v>132183</v>
      </c>
      <c r="H2" s="2">
        <v>151200</v>
      </c>
      <c r="I2" s="2">
        <v>142217</v>
      </c>
      <c r="J2" s="2">
        <v>107333</v>
      </c>
      <c r="K2" s="2"/>
      <c r="L2" s="2"/>
      <c r="M2" s="2"/>
    </row>
    <row r="3" spans="1:13" x14ac:dyDescent="0.4">
      <c r="A3" t="s">
        <v>14</v>
      </c>
      <c r="B3" s="2">
        <v>-50540</v>
      </c>
      <c r="C3" s="2">
        <v>-54829</v>
      </c>
      <c r="D3" s="2">
        <v>-64438</v>
      </c>
      <c r="E3" s="2">
        <v>-69825</v>
      </c>
      <c r="F3" s="2">
        <v>-68428</v>
      </c>
      <c r="G3" s="2">
        <v>-75344</v>
      </c>
      <c r="H3" s="2">
        <v>-86184</v>
      </c>
      <c r="I3" s="2">
        <v>-81063</v>
      </c>
      <c r="J3" s="2">
        <v>-61180</v>
      </c>
      <c r="K3" s="2"/>
      <c r="L3" s="2"/>
      <c r="M3" s="2"/>
    </row>
    <row r="4" spans="1:13" x14ac:dyDescent="0.4">
      <c r="A4" t="s">
        <v>15</v>
      </c>
      <c r="B4" s="2">
        <v>-28000</v>
      </c>
      <c r="C4" s="2">
        <v>-28000</v>
      </c>
      <c r="D4" s="2">
        <v>-28000</v>
      </c>
      <c r="E4" s="2">
        <v>-28000</v>
      </c>
      <c r="F4" s="2">
        <v>-28000</v>
      </c>
      <c r="G4" s="2">
        <v>-28000</v>
      </c>
      <c r="H4" s="2">
        <v>-31000</v>
      </c>
      <c r="I4" s="2">
        <v>-31000</v>
      </c>
      <c r="J4" s="2">
        <v>-28000</v>
      </c>
      <c r="K4" s="2"/>
      <c r="L4" s="2"/>
      <c r="M4" s="2"/>
    </row>
    <row r="5" spans="1:13" x14ac:dyDescent="0.4">
      <c r="A5" t="s">
        <v>16</v>
      </c>
      <c r="B5" s="2">
        <v>-3850</v>
      </c>
      <c r="C5" s="2">
        <v>-3850</v>
      </c>
      <c r="D5" s="2">
        <v>-3850</v>
      </c>
      <c r="E5" s="2">
        <v>-3850</v>
      </c>
      <c r="F5" s="2">
        <v>-3850</v>
      </c>
      <c r="G5" s="2">
        <v>-3850</v>
      </c>
      <c r="H5" s="2">
        <v>-3850</v>
      </c>
      <c r="I5" s="2">
        <v>-3850</v>
      </c>
      <c r="J5" s="2">
        <v>-3850</v>
      </c>
      <c r="K5" s="2"/>
      <c r="L5" s="2"/>
      <c r="M5" s="2"/>
    </row>
    <row r="6" spans="1:13" x14ac:dyDescent="0.4">
      <c r="A6" t="s">
        <v>17</v>
      </c>
      <c r="B6" s="2">
        <v>-2700</v>
      </c>
      <c r="C6" s="2">
        <v>-2700</v>
      </c>
      <c r="D6" s="2">
        <v>-2700</v>
      </c>
      <c r="E6" s="2">
        <v>-2700</v>
      </c>
      <c r="F6" s="2">
        <v>-2700</v>
      </c>
      <c r="G6" s="2">
        <v>-2700</v>
      </c>
      <c r="H6" s="2">
        <v>-2700</v>
      </c>
      <c r="I6" s="2">
        <v>-2700</v>
      </c>
      <c r="J6" s="2">
        <v>-2700</v>
      </c>
      <c r="K6" s="2"/>
      <c r="L6" s="2"/>
      <c r="M6" s="2"/>
    </row>
    <row r="7" spans="1:13" x14ac:dyDescent="0.4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51F7-74FE-45C1-ACBB-D8187236C5A2}">
  <sheetPr codeName="Hoja4"/>
  <dimension ref="A1:J12"/>
  <sheetViews>
    <sheetView showGridLines="0" zoomScale="52" workbookViewId="0">
      <selection activeCell="D7" sqref="D7"/>
    </sheetView>
  </sheetViews>
  <sheetFormatPr baseColWidth="10" defaultRowHeight="14.6" x14ac:dyDescent="0.4"/>
  <cols>
    <col min="1" max="1" width="31.61328125" bestFit="1" customWidth="1"/>
    <col min="2" max="10" width="12.69140625" customWidth="1"/>
  </cols>
  <sheetData>
    <row r="1" spans="1:10" ht="18.45" x14ac:dyDescent="0.5">
      <c r="A1" s="3" t="s">
        <v>18</v>
      </c>
    </row>
    <row r="3" spans="1:10" x14ac:dyDescent="0.4">
      <c r="A3" s="1"/>
      <c r="B3" s="1" t="s">
        <v>19</v>
      </c>
      <c r="C3" s="1"/>
      <c r="D3" s="1"/>
      <c r="E3" s="1"/>
      <c r="F3" s="1" t="s">
        <v>20</v>
      </c>
      <c r="G3" s="1"/>
      <c r="H3" s="1"/>
      <c r="I3" s="1"/>
      <c r="J3" s="1"/>
    </row>
    <row r="4" spans="1:10" x14ac:dyDescent="0.4">
      <c r="A4" s="4" t="s">
        <v>0</v>
      </c>
      <c r="B4" s="4" t="s">
        <v>21</v>
      </c>
      <c r="C4" s="4" t="s">
        <v>22</v>
      </c>
      <c r="D4" s="4" t="s">
        <v>23</v>
      </c>
      <c r="E4" s="4" t="s">
        <v>24</v>
      </c>
      <c r="F4" s="4" t="s">
        <v>21</v>
      </c>
      <c r="G4" s="4" t="s">
        <v>22</v>
      </c>
      <c r="H4" s="4" t="s">
        <v>23</v>
      </c>
      <c r="I4" s="4" t="s">
        <v>24</v>
      </c>
      <c r="J4" s="4" t="s">
        <v>25</v>
      </c>
    </row>
    <row r="5" spans="1:10" x14ac:dyDescent="0.4">
      <c r="A5" t="s">
        <v>13</v>
      </c>
      <c r="B5" s="2">
        <v>107333</v>
      </c>
      <c r="C5" s="2">
        <v>116667</v>
      </c>
      <c r="D5" s="2">
        <v>-9334</v>
      </c>
      <c r="E5" s="11">
        <v>-8.0005485698612294E-2</v>
      </c>
      <c r="F5" s="2">
        <v>1073392</v>
      </c>
      <c r="G5" s="2">
        <v>1061667</v>
      </c>
      <c r="H5" s="2">
        <v>11725</v>
      </c>
      <c r="I5" s="11">
        <v>1.1043952576467009E-2</v>
      </c>
      <c r="J5" s="5" t="s">
        <v>26</v>
      </c>
    </row>
    <row r="6" spans="1:10" x14ac:dyDescent="0.4">
      <c r="A6" t="s">
        <v>14</v>
      </c>
      <c r="B6" s="2">
        <v>-61180</v>
      </c>
      <c r="C6" s="2">
        <v>-64167</v>
      </c>
      <c r="D6" s="2">
        <v>2987</v>
      </c>
      <c r="E6" s="11">
        <v>4.6550407530350495E-2</v>
      </c>
      <c r="F6" s="2">
        <v>-611831</v>
      </c>
      <c r="G6" s="2">
        <v>-583917</v>
      </c>
      <c r="H6" s="2">
        <v>-27914</v>
      </c>
      <c r="I6" s="11">
        <v>-4.7804739372205293E-2</v>
      </c>
      <c r="J6" s="6" t="s">
        <v>27</v>
      </c>
    </row>
    <row r="7" spans="1:10" x14ac:dyDescent="0.4">
      <c r="A7" t="s">
        <v>15</v>
      </c>
      <c r="B7" s="2">
        <v>-28000</v>
      </c>
      <c r="C7" s="2">
        <v>-28000</v>
      </c>
      <c r="D7" s="2">
        <v>0</v>
      </c>
      <c r="E7" s="11">
        <v>0</v>
      </c>
      <c r="F7" s="2">
        <v>-258000</v>
      </c>
      <c r="G7" s="2">
        <v>-252000</v>
      </c>
      <c r="H7" s="2">
        <v>-6000</v>
      </c>
      <c r="I7" s="11">
        <v>-2.3809523809523808E-2</v>
      </c>
      <c r="J7" s="6" t="s">
        <v>27</v>
      </c>
    </row>
    <row r="8" spans="1:10" x14ac:dyDescent="0.4">
      <c r="A8" t="s">
        <v>16</v>
      </c>
      <c r="B8" s="2">
        <v>-3850</v>
      </c>
      <c r="C8" s="2">
        <v>-3500</v>
      </c>
      <c r="D8" s="2">
        <v>-350</v>
      </c>
      <c r="E8" s="11">
        <v>-0.1</v>
      </c>
      <c r="F8" s="2">
        <v>-34650</v>
      </c>
      <c r="G8" s="2">
        <v>-31500</v>
      </c>
      <c r="H8" s="2">
        <v>-3150</v>
      </c>
      <c r="I8" s="11">
        <v>-0.1</v>
      </c>
      <c r="J8" s="7" t="s">
        <v>28</v>
      </c>
    </row>
    <row r="9" spans="1:10" x14ac:dyDescent="0.4">
      <c r="A9" t="s">
        <v>17</v>
      </c>
      <c r="B9" s="2">
        <v>-2700</v>
      </c>
      <c r="C9" s="2">
        <v>-2700</v>
      </c>
      <c r="D9" s="2">
        <v>0</v>
      </c>
      <c r="E9" s="11">
        <v>0</v>
      </c>
      <c r="F9" s="2">
        <v>-24300</v>
      </c>
      <c r="G9" s="2">
        <v>-24300</v>
      </c>
      <c r="H9" s="2">
        <v>0</v>
      </c>
      <c r="I9" s="11">
        <v>0</v>
      </c>
      <c r="J9" s="5" t="s">
        <v>26</v>
      </c>
    </row>
    <row r="10" spans="1:10" x14ac:dyDescent="0.4">
      <c r="A10" s="8" t="s">
        <v>29</v>
      </c>
      <c r="B10" s="10">
        <v>11603</v>
      </c>
      <c r="C10" s="10">
        <v>18300</v>
      </c>
      <c r="D10" s="10">
        <v>-6697</v>
      </c>
      <c r="E10" s="12">
        <v>-0.36595628415300546</v>
      </c>
      <c r="F10" s="10">
        <v>144611</v>
      </c>
      <c r="G10" s="10">
        <v>169950</v>
      </c>
      <c r="H10" s="10">
        <v>-25339</v>
      </c>
      <c r="I10" s="12">
        <v>-0.14909679317446309</v>
      </c>
      <c r="J10" s="9" t="s">
        <v>28</v>
      </c>
    </row>
    <row r="12" spans="1:10" x14ac:dyDescent="0.4">
      <c r="A12" s="13" t="s">
        <v>30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07E7-DAAE-492B-9F86-60D0BE1E4404}">
  <sheetPr codeName="Hoja16"/>
  <dimension ref="B2:P44"/>
  <sheetViews>
    <sheetView showGridLines="0" zoomScale="52" workbookViewId="0">
      <selection activeCell="R10" sqref="R10"/>
    </sheetView>
  </sheetViews>
  <sheetFormatPr baseColWidth="10" defaultRowHeight="14.6" x14ac:dyDescent="0.4"/>
  <cols>
    <col min="1" max="1" width="2.69140625" customWidth="1"/>
    <col min="2" max="4" width="11.69140625" customWidth="1"/>
    <col min="5" max="5" width="2.69140625" customWidth="1"/>
    <col min="6" max="8" width="11.69140625" customWidth="1"/>
    <col min="9" max="9" width="2.69140625" customWidth="1"/>
    <col min="10" max="12" width="11.69140625" customWidth="1"/>
    <col min="13" max="13" width="2.69140625" customWidth="1"/>
    <col min="14" max="16" width="11.69140625" customWidth="1"/>
  </cols>
  <sheetData>
    <row r="2" spans="2:16" ht="23.15" x14ac:dyDescent="0.6">
      <c r="B2" s="15" t="s">
        <v>47</v>
      </c>
    </row>
    <row r="3" spans="2:16" ht="24" customHeight="1" x14ac:dyDescent="0.4">
      <c r="B3" s="1" t="s">
        <v>38</v>
      </c>
      <c r="C3" s="16" t="s">
        <v>9</v>
      </c>
    </row>
    <row r="5" spans="2:16" x14ac:dyDescent="0.4">
      <c r="B5" s="17" t="s">
        <v>39</v>
      </c>
      <c r="C5" s="18"/>
      <c r="D5" s="19"/>
      <c r="F5" s="27" t="s">
        <v>41</v>
      </c>
      <c r="G5" s="28"/>
      <c r="H5" s="29"/>
      <c r="J5" s="37" t="s">
        <v>43</v>
      </c>
      <c r="K5" s="38"/>
      <c r="L5" s="39"/>
      <c r="N5" s="37" t="s">
        <v>45</v>
      </c>
      <c r="O5" s="38"/>
      <c r="P5" s="39"/>
    </row>
    <row r="6" spans="2:16" ht="20.05" customHeight="1" x14ac:dyDescent="0.4">
      <c r="B6" s="20">
        <v>1073392</v>
      </c>
      <c r="C6" s="21"/>
      <c r="D6" s="22"/>
      <c r="F6" s="30">
        <v>0.43000227316767781</v>
      </c>
      <c r="G6" s="31"/>
      <c r="H6" s="32"/>
      <c r="J6" s="40">
        <v>144611</v>
      </c>
      <c r="K6" s="41"/>
      <c r="L6" s="42"/>
      <c r="N6" s="40">
        <v>11603</v>
      </c>
      <c r="O6" s="41"/>
      <c r="P6" s="42"/>
    </row>
    <row r="7" spans="2:16" ht="20.05" customHeight="1" x14ac:dyDescent="0.4">
      <c r="B7" s="23"/>
      <c r="C7" s="21"/>
      <c r="D7" s="22"/>
      <c r="F7" s="33"/>
      <c r="G7" s="31"/>
      <c r="H7" s="32"/>
      <c r="J7" s="43"/>
      <c r="K7" s="41"/>
      <c r="L7" s="42"/>
      <c r="N7" s="43"/>
      <c r="O7" s="41"/>
      <c r="P7" s="42"/>
    </row>
    <row r="8" spans="2:16" x14ac:dyDescent="0.4">
      <c r="B8" s="24" t="s">
        <v>40</v>
      </c>
      <c r="C8" s="25"/>
      <c r="D8" s="26"/>
      <c r="F8" s="34" t="s">
        <v>42</v>
      </c>
      <c r="G8" s="35"/>
      <c r="H8" s="36"/>
      <c r="J8" s="44" t="s">
        <v>44</v>
      </c>
      <c r="K8" s="45"/>
      <c r="L8" s="46"/>
      <c r="N8" s="44" t="s">
        <v>46</v>
      </c>
      <c r="O8" s="45"/>
      <c r="P8" s="46"/>
    </row>
    <row r="44" spans="2:2" x14ac:dyDescent="0.4">
      <c r="B44" s="13" t="s">
        <v>48</v>
      </c>
    </row>
  </sheetData>
  <mergeCells count="12">
    <mergeCell ref="J5:L5"/>
    <mergeCell ref="J6:L7"/>
    <mergeCell ref="J8:L8"/>
    <mergeCell ref="N5:P5"/>
    <mergeCell ref="N6:P7"/>
    <mergeCell ref="N8:P8"/>
    <mergeCell ref="B5:D5"/>
    <mergeCell ref="B6:D7"/>
    <mergeCell ref="B8:D8"/>
    <mergeCell ref="F5:H5"/>
    <mergeCell ref="F6:H7"/>
    <mergeCell ref="F8:H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E0DDE5-30A8-4A17-828F-3BB7246DD907}">
          <x14:formula1>
            <xm:f>DatosCuadro!$J$2:$J$10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2B444-467D-40D6-BED0-B717D7612411}">
  <sheetPr codeName="Hoja11">
    <tabColor rgb="FF2F75B5"/>
  </sheetPr>
  <dimension ref="B2:E46"/>
  <sheetViews>
    <sheetView showGridLines="0" tabSelected="1" topLeftCell="A2" zoomScale="58" workbookViewId="0">
      <selection activeCell="H27" sqref="H27"/>
    </sheetView>
  </sheetViews>
  <sheetFormatPr baseColWidth="10" defaultRowHeight="14.6" x14ac:dyDescent="0.4"/>
  <cols>
    <col min="1" max="1" width="2.69140625" style="47" customWidth="1"/>
    <col min="2" max="2" width="3.69140625" style="47" customWidth="1"/>
    <col min="3" max="3" width="72.69140625" style="47" customWidth="1"/>
    <col min="4" max="5" width="17.69140625" style="47" customWidth="1"/>
    <col min="6" max="16384" width="11.07421875" style="47"/>
  </cols>
  <sheetData>
    <row r="2" spans="2:5" ht="32.4" customHeight="1" x14ac:dyDescent="0.6">
      <c r="B2" s="48" t="s">
        <v>49</v>
      </c>
    </row>
    <row r="3" spans="2:5" ht="29.15" x14ac:dyDescent="0.4">
      <c r="C3" s="50" t="s">
        <v>50</v>
      </c>
    </row>
    <row r="5" spans="2:5" ht="23.4" customHeight="1" thickBot="1" x14ac:dyDescent="0.5">
      <c r="B5" s="51" t="s">
        <v>51</v>
      </c>
      <c r="C5" s="52"/>
      <c r="D5" s="52"/>
      <c r="E5" s="52"/>
    </row>
    <row r="6" spans="2:5" ht="29.15" x14ac:dyDescent="0.4">
      <c r="B6" s="53" t="s">
        <v>52</v>
      </c>
      <c r="C6" s="54" t="s">
        <v>53</v>
      </c>
    </row>
    <row r="7" spans="2:5" ht="29.15" x14ac:dyDescent="0.4">
      <c r="B7" s="53" t="s">
        <v>52</v>
      </c>
      <c r="C7" s="54" t="s">
        <v>54</v>
      </c>
    </row>
    <row r="8" spans="2:5" ht="29.15" x14ac:dyDescent="0.4">
      <c r="B8" s="53" t="s">
        <v>52</v>
      </c>
      <c r="C8" s="54" t="s">
        <v>55</v>
      </c>
    </row>
    <row r="9" spans="2:5" ht="29.15" x14ac:dyDescent="0.4">
      <c r="B9" s="53" t="s">
        <v>52</v>
      </c>
      <c r="C9" s="54" t="s">
        <v>56</v>
      </c>
    </row>
    <row r="11" spans="2:5" ht="23.4" customHeight="1" thickBot="1" x14ac:dyDescent="0.5">
      <c r="B11" s="51" t="s">
        <v>57</v>
      </c>
      <c r="C11" s="52"/>
      <c r="D11" s="52"/>
      <c r="E11" s="52"/>
    </row>
    <row r="12" spans="2:5" ht="43.75" x14ac:dyDescent="0.4">
      <c r="C12" s="49" t="s">
        <v>58</v>
      </c>
    </row>
    <row r="13" spans="2:5" x14ac:dyDescent="0.4">
      <c r="C13" s="55" t="s">
        <v>59</v>
      </c>
      <c r="D13" s="56" t="s">
        <v>60</v>
      </c>
      <c r="E13" s="56" t="s">
        <v>61</v>
      </c>
    </row>
    <row r="14" spans="2:5" x14ac:dyDescent="0.4">
      <c r="C14" s="57" t="s">
        <v>62</v>
      </c>
      <c r="D14" s="58">
        <v>169950</v>
      </c>
      <c r="E14" s="57"/>
    </row>
    <row r="15" spans="2:5" x14ac:dyDescent="0.4">
      <c r="C15" s="59" t="s">
        <v>63</v>
      </c>
      <c r="D15" s="60">
        <v>5276.2483434071137</v>
      </c>
      <c r="E15" s="61" t="s">
        <v>26</v>
      </c>
    </row>
    <row r="16" spans="2:5" x14ac:dyDescent="0.4">
      <c r="C16" s="59" t="s">
        <v>64</v>
      </c>
      <c r="D16" s="60">
        <v>-21465.248343407147</v>
      </c>
      <c r="E16" s="62" t="s">
        <v>28</v>
      </c>
    </row>
    <row r="17" spans="2:5" x14ac:dyDescent="0.4">
      <c r="C17" s="59" t="s">
        <v>15</v>
      </c>
      <c r="D17" s="60">
        <v>-6000</v>
      </c>
      <c r="E17" s="62" t="s">
        <v>28</v>
      </c>
    </row>
    <row r="18" spans="2:5" x14ac:dyDescent="0.4">
      <c r="C18" s="59" t="s">
        <v>16</v>
      </c>
      <c r="D18" s="60">
        <v>-3150</v>
      </c>
      <c r="E18" s="62" t="s">
        <v>28</v>
      </c>
    </row>
    <row r="19" spans="2:5" x14ac:dyDescent="0.4">
      <c r="C19" s="59" t="s">
        <v>17</v>
      </c>
      <c r="D19" s="60">
        <v>0</v>
      </c>
      <c r="E19" s="63" t="s">
        <v>65</v>
      </c>
    </row>
    <row r="20" spans="2:5" x14ac:dyDescent="0.4">
      <c r="C20" s="64" t="s">
        <v>66</v>
      </c>
      <c r="D20" s="65">
        <v>144611</v>
      </c>
      <c r="E20" s="64"/>
    </row>
    <row r="22" spans="2:5" ht="29.15" x14ac:dyDescent="0.4">
      <c r="C22" s="49" t="s">
        <v>67</v>
      </c>
    </row>
    <row r="23" spans="2:5" ht="43.75" x14ac:dyDescent="0.4">
      <c r="C23" s="49" t="s">
        <v>68</v>
      </c>
    </row>
    <row r="25" spans="2:5" ht="23.4" customHeight="1" thickBot="1" x14ac:dyDescent="0.5">
      <c r="B25" s="51" t="s">
        <v>69</v>
      </c>
      <c r="C25" s="52"/>
      <c r="D25" s="52"/>
      <c r="E25" s="52"/>
    </row>
    <row r="26" spans="2:5" ht="29.15" x14ac:dyDescent="0.4">
      <c r="B26" s="66"/>
      <c r="C26" s="54" t="s">
        <v>70</v>
      </c>
    </row>
    <row r="27" spans="2:5" ht="29.15" x14ac:dyDescent="0.4">
      <c r="B27" s="67"/>
      <c r="C27" s="54" t="s">
        <v>71</v>
      </c>
    </row>
    <row r="28" spans="2:5" ht="29.15" x14ac:dyDescent="0.4">
      <c r="B28" s="67"/>
      <c r="C28" s="54" t="s">
        <v>72</v>
      </c>
    </row>
    <row r="29" spans="2:5" ht="29.15" x14ac:dyDescent="0.4">
      <c r="B29" s="68"/>
      <c r="C29" s="54" t="s">
        <v>73</v>
      </c>
    </row>
    <row r="30" spans="2:5" x14ac:dyDescent="0.4">
      <c r="B30" s="66"/>
      <c r="C30" s="54" t="s">
        <v>74</v>
      </c>
    </row>
    <row r="32" spans="2:5" ht="23.4" customHeight="1" thickBot="1" x14ac:dyDescent="0.5">
      <c r="B32" s="51" t="s">
        <v>75</v>
      </c>
      <c r="C32" s="52"/>
      <c r="D32" s="52"/>
      <c r="E32" s="52"/>
    </row>
    <row r="33" spans="2:5" x14ac:dyDescent="0.4">
      <c r="C33" s="55" t="s">
        <v>76</v>
      </c>
      <c r="D33" s="56" t="s">
        <v>77</v>
      </c>
      <c r="E33" s="56" t="s">
        <v>78</v>
      </c>
    </row>
    <row r="34" spans="2:5" x14ac:dyDescent="0.4">
      <c r="C34" s="69" t="s">
        <v>79</v>
      </c>
      <c r="D34" s="70">
        <v>219600</v>
      </c>
      <c r="E34" s="69"/>
    </row>
    <row r="35" spans="2:5" x14ac:dyDescent="0.4">
      <c r="C35" s="74" t="s">
        <v>80</v>
      </c>
      <c r="D35" s="75">
        <v>194261</v>
      </c>
      <c r="E35" s="76">
        <v>-0.11538706739526412</v>
      </c>
    </row>
    <row r="36" spans="2:5" x14ac:dyDescent="0.4">
      <c r="C36" s="71" t="s">
        <v>81</v>
      </c>
      <c r="D36" s="72">
        <v>187495.15688977562</v>
      </c>
      <c r="E36" s="73">
        <v>-0.14619691762397258</v>
      </c>
    </row>
    <row r="38" spans="2:5" ht="43.75" x14ac:dyDescent="0.4">
      <c r="C38" s="49" t="s">
        <v>82</v>
      </c>
    </row>
    <row r="40" spans="2:5" ht="23.4" customHeight="1" thickBot="1" x14ac:dyDescent="0.5">
      <c r="B40" s="51" t="s">
        <v>83</v>
      </c>
      <c r="C40" s="52"/>
      <c r="D40" s="52"/>
      <c r="E40" s="52"/>
    </row>
    <row r="41" spans="2:5" ht="43.75" x14ac:dyDescent="0.4">
      <c r="B41" s="53" t="s">
        <v>52</v>
      </c>
      <c r="C41" s="54" t="s">
        <v>84</v>
      </c>
    </row>
    <row r="42" spans="2:5" ht="29.15" x14ac:dyDescent="0.4">
      <c r="B42" s="53" t="s">
        <v>52</v>
      </c>
      <c r="C42" s="54" t="s">
        <v>85</v>
      </c>
    </row>
    <row r="43" spans="2:5" ht="29.15" x14ac:dyDescent="0.4">
      <c r="B43" s="53" t="s">
        <v>52</v>
      </c>
      <c r="C43" s="54" t="s">
        <v>86</v>
      </c>
    </row>
    <row r="44" spans="2:5" ht="29.15" x14ac:dyDescent="0.4">
      <c r="B44" s="53" t="s">
        <v>52</v>
      </c>
      <c r="C44" s="54" t="s">
        <v>87</v>
      </c>
    </row>
    <row r="46" spans="2:5" ht="24" x14ac:dyDescent="0.4">
      <c r="C46" s="77" t="s">
        <v>88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BBA65-A194-4A65-B505-B1296AFF63EF}">
  <sheetPr codeName="Hoja15"/>
  <dimension ref="A1:J13"/>
  <sheetViews>
    <sheetView workbookViewId="0"/>
  </sheetViews>
  <sheetFormatPr baseColWidth="10" defaultRowHeight="14.6" x14ac:dyDescent="0.4"/>
  <sheetData>
    <row r="1" spans="1:10" x14ac:dyDescent="0.4">
      <c r="A1" s="1" t="s">
        <v>31</v>
      </c>
      <c r="B1" s="1" t="s">
        <v>32</v>
      </c>
      <c r="C1" s="1" t="s">
        <v>33</v>
      </c>
      <c r="D1" s="1" t="s">
        <v>34</v>
      </c>
      <c r="E1" s="1" t="s">
        <v>35</v>
      </c>
      <c r="F1" s="1"/>
      <c r="G1" s="1" t="s">
        <v>0</v>
      </c>
      <c r="H1" s="1" t="s">
        <v>36</v>
      </c>
      <c r="I1" s="1"/>
      <c r="J1" s="1" t="s">
        <v>37</v>
      </c>
    </row>
    <row r="2" spans="1:10" x14ac:dyDescent="0.4">
      <c r="A2" t="s">
        <v>1</v>
      </c>
      <c r="B2" s="14">
        <v>93333</v>
      </c>
      <c r="C2" s="14">
        <v>88667</v>
      </c>
      <c r="D2" s="14">
        <v>7800</v>
      </c>
      <c r="E2" s="14">
        <v>3577</v>
      </c>
      <c r="F2" s="14"/>
      <c r="G2" s="14" t="s">
        <v>13</v>
      </c>
      <c r="H2" s="14">
        <v>11725</v>
      </c>
      <c r="J2" t="s">
        <v>1</v>
      </c>
    </row>
    <row r="3" spans="1:10" x14ac:dyDescent="0.4">
      <c r="A3" t="s">
        <v>2</v>
      </c>
      <c r="B3" s="14">
        <v>99167</v>
      </c>
      <c r="C3" s="14">
        <v>96192</v>
      </c>
      <c r="D3" s="14">
        <v>18225</v>
      </c>
      <c r="E3" s="14">
        <v>10390</v>
      </c>
      <c r="F3" s="14"/>
      <c r="G3" s="14" t="s">
        <v>14</v>
      </c>
      <c r="H3" s="14">
        <v>-27914</v>
      </c>
      <c r="J3" t="s">
        <v>2</v>
      </c>
    </row>
    <row r="4" spans="1:10" x14ac:dyDescent="0.4">
      <c r="A4" t="s">
        <v>3</v>
      </c>
      <c r="B4" s="14">
        <v>110833</v>
      </c>
      <c r="C4" s="14">
        <v>113050</v>
      </c>
      <c r="D4" s="14">
        <v>33900</v>
      </c>
      <c r="E4" s="14">
        <v>24452</v>
      </c>
      <c r="F4" s="14"/>
      <c r="G4" s="14" t="s">
        <v>15</v>
      </c>
      <c r="H4" s="14">
        <v>-6000</v>
      </c>
      <c r="J4" t="s">
        <v>3</v>
      </c>
    </row>
    <row r="5" spans="1:10" x14ac:dyDescent="0.4">
      <c r="A5" t="s">
        <v>4</v>
      </c>
      <c r="B5" s="14">
        <v>116667</v>
      </c>
      <c r="C5" s="14">
        <v>122500</v>
      </c>
      <c r="D5" s="14">
        <v>52200</v>
      </c>
      <c r="E5" s="14">
        <v>42577</v>
      </c>
      <c r="F5" s="14"/>
      <c r="G5" s="14" t="s">
        <v>16</v>
      </c>
      <c r="H5" s="14">
        <v>-3150</v>
      </c>
      <c r="J5" t="s">
        <v>4</v>
      </c>
    </row>
    <row r="6" spans="1:10" x14ac:dyDescent="0.4">
      <c r="A6" t="s">
        <v>5</v>
      </c>
      <c r="B6" s="14">
        <v>122500</v>
      </c>
      <c r="C6" s="14">
        <v>120050</v>
      </c>
      <c r="D6" s="14">
        <v>73125</v>
      </c>
      <c r="E6" s="14">
        <v>59649</v>
      </c>
      <c r="F6" s="14"/>
      <c r="G6" s="14" t="s">
        <v>17</v>
      </c>
      <c r="H6" s="14">
        <v>0</v>
      </c>
      <c r="J6" t="s">
        <v>5</v>
      </c>
    </row>
    <row r="7" spans="1:10" x14ac:dyDescent="0.4">
      <c r="A7" t="s">
        <v>6</v>
      </c>
      <c r="B7" s="14">
        <v>128333</v>
      </c>
      <c r="C7" s="14">
        <v>132183</v>
      </c>
      <c r="D7" s="14">
        <v>96675</v>
      </c>
      <c r="E7" s="14">
        <v>81938</v>
      </c>
      <c r="F7" s="14"/>
      <c r="G7" s="14"/>
      <c r="H7" s="14"/>
      <c r="J7" t="s">
        <v>6</v>
      </c>
    </row>
    <row r="8" spans="1:10" x14ac:dyDescent="0.4">
      <c r="A8" t="s">
        <v>7</v>
      </c>
      <c r="B8" s="14">
        <v>140000</v>
      </c>
      <c r="C8" s="14">
        <v>151200</v>
      </c>
      <c r="D8" s="14">
        <v>125475</v>
      </c>
      <c r="E8" s="14">
        <v>109404</v>
      </c>
      <c r="F8" s="14"/>
      <c r="G8" s="14"/>
      <c r="H8" s="14"/>
      <c r="J8" t="s">
        <v>7</v>
      </c>
    </row>
    <row r="9" spans="1:10" x14ac:dyDescent="0.4">
      <c r="A9" t="s">
        <v>8</v>
      </c>
      <c r="B9" s="14">
        <v>134167</v>
      </c>
      <c r="C9" s="14">
        <v>142217</v>
      </c>
      <c r="D9" s="14">
        <v>151650</v>
      </c>
      <c r="E9" s="14">
        <v>133008</v>
      </c>
      <c r="F9" s="14"/>
      <c r="G9" s="14"/>
      <c r="H9" s="14"/>
      <c r="J9" t="s">
        <v>8</v>
      </c>
    </row>
    <row r="10" spans="1:10" x14ac:dyDescent="0.4">
      <c r="A10" t="s">
        <v>9</v>
      </c>
      <c r="B10" s="14">
        <v>116667</v>
      </c>
      <c r="C10" s="14">
        <v>107333</v>
      </c>
      <c r="D10" s="14">
        <v>169950</v>
      </c>
      <c r="E10" s="14">
        <v>144611</v>
      </c>
      <c r="F10" s="14"/>
      <c r="G10" s="14"/>
      <c r="H10" s="14"/>
      <c r="J10" t="s">
        <v>9</v>
      </c>
    </row>
    <row r="11" spans="1:10" x14ac:dyDescent="0.4">
      <c r="A11" t="s">
        <v>10</v>
      </c>
      <c r="B11" s="14">
        <v>110833</v>
      </c>
      <c r="C11" s="14"/>
      <c r="D11" s="14">
        <v>185625</v>
      </c>
      <c r="E11" s="14"/>
      <c r="F11" s="14"/>
      <c r="G11" s="14"/>
      <c r="H11" s="14"/>
    </row>
    <row r="12" spans="1:10" x14ac:dyDescent="0.4">
      <c r="A12" t="s">
        <v>11</v>
      </c>
      <c r="B12" s="14">
        <v>110833</v>
      </c>
      <c r="C12" s="14"/>
      <c r="D12" s="14">
        <v>201300</v>
      </c>
      <c r="E12" s="14"/>
      <c r="F12" s="14"/>
      <c r="G12" s="14"/>
      <c r="H12" s="14"/>
    </row>
    <row r="13" spans="1:10" x14ac:dyDescent="0.4">
      <c r="A13" t="s">
        <v>12</v>
      </c>
      <c r="B13" s="14">
        <v>116667</v>
      </c>
      <c r="C13" s="14"/>
      <c r="D13" s="14">
        <v>219600</v>
      </c>
      <c r="E13" s="14"/>
      <c r="F13" s="14"/>
      <c r="G13" s="14"/>
      <c r="H13" s="1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Portada</vt:lpstr>
      <vt:lpstr>Presupuesto</vt:lpstr>
      <vt:lpstr>Real</vt:lpstr>
      <vt:lpstr>Desviaciones</vt:lpstr>
      <vt:lpstr>CuadroMando</vt:lpstr>
      <vt:lpstr>Conclusiones</vt:lpstr>
      <vt:lpstr>DatosCuadro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Angosto</dc:creator>
  <cp:lastModifiedBy>Javier Angosto</cp:lastModifiedBy>
  <dcterms:created xsi:type="dcterms:W3CDTF">2015-06-05T18:17:20Z</dcterms:created>
  <dcterms:modified xsi:type="dcterms:W3CDTF">2026-10-14T12:21:21Z</dcterms:modified>
</cp:coreProperties>
</file>