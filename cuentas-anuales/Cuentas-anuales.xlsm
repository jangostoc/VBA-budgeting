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vie\OneDrive\Escritorio\Javier Angosto - Analista financiero\zzz CFI - FP&amp;A\_VBA\"/>
    </mc:Choice>
  </mc:AlternateContent>
  <xr:revisionPtr revIDLastSave="0" documentId="13_ncr:1_{C0DCB353-45A0-482B-922C-3DD7077F46D1}" xr6:coauthVersionLast="47" xr6:coauthVersionMax="47" xr10:uidLastSave="{00000000-0000-0000-0000-000000000000}"/>
  <bookViews>
    <workbookView xWindow="-103" yWindow="-103" windowWidth="22149" windowHeight="13200" firstSheet="2" activeTab="7" xr2:uid="{927B1A0E-F79D-403C-9923-AC348E6B2158}"/>
  </bookViews>
  <sheets>
    <sheet name="Portada" sheetId="18" r:id="rId1"/>
    <sheet name="SumasSaldos" sheetId="9" r:id="rId2"/>
    <sheet name="Mapeo" sheetId="10" r:id="rId3"/>
    <sheet name="CuentasAnuales" sheetId="13" r:id="rId4"/>
    <sheet name="SumasSaldos2024" sheetId="14" r:id="rId5"/>
    <sheet name="Analisis" sheetId="17" r:id="rId6"/>
    <sheet name="Conclusiones" sheetId="16" r:id="rId7"/>
    <sheet name="Resumen" sheetId="19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<sst xmlns="http://schemas.openxmlformats.org/spreadsheetml/2006/main" count="225" uniqueCount="157">
  <si>
    <t>Concepto</t>
  </si>
  <si>
    <t>Importe</t>
  </si>
  <si>
    <t>Existencias</t>
  </si>
  <si>
    <t>Ratio</t>
  </si>
  <si>
    <t>Cuenta</t>
  </si>
  <si>
    <t>Descripción</t>
  </si>
  <si>
    <t>Saldo</t>
  </si>
  <si>
    <t>Capital social</t>
  </si>
  <si>
    <t>Reserva legal</t>
  </si>
  <si>
    <t>Deudas l/p con entidades de crédito</t>
  </si>
  <si>
    <t>Construcciones</t>
  </si>
  <si>
    <t>Equipos para procesos de información</t>
  </si>
  <si>
    <t>Amort. acumulada inmovilizado material</t>
  </si>
  <si>
    <t>Mercaderías</t>
  </si>
  <si>
    <t>Proveedores</t>
  </si>
  <si>
    <t>Clientes</t>
  </si>
  <si>
    <t>HP acreedora por conceptos fiscales</t>
  </si>
  <si>
    <t>Bancos</t>
  </si>
  <si>
    <t>Compras de mercaderías</t>
  </si>
  <si>
    <t>Arrendamientos</t>
  </si>
  <si>
    <t>Sueldos y salarios</t>
  </si>
  <si>
    <t>Seguridad Social a cargo de la empresa</t>
  </si>
  <si>
    <t>Amortización inmovilizado material</t>
  </si>
  <si>
    <t>Ventas de mercaderías</t>
  </si>
  <si>
    <t>Masa</t>
  </si>
  <si>
    <t>Epígrafe</t>
  </si>
  <si>
    <t>ANC</t>
  </si>
  <si>
    <t>Inmovilizado material</t>
  </si>
  <si>
    <t>AC</t>
  </si>
  <si>
    <t>Deudores comerciales y otras cuentas a cobrar</t>
  </si>
  <si>
    <t>Efectivo y otros activos líquidos equivalentes</t>
  </si>
  <si>
    <t>PN</t>
  </si>
  <si>
    <t>Capital</t>
  </si>
  <si>
    <t>Reservas</t>
  </si>
  <si>
    <t>PNC</t>
  </si>
  <si>
    <t>Deudas a largo plazo</t>
  </si>
  <si>
    <t>PC</t>
  </si>
  <si>
    <t>Acreedores comerciales y otras cuentas a pagar</t>
  </si>
  <si>
    <t>PYG</t>
  </si>
  <si>
    <t>Importe neto de la cifra de negocios</t>
  </si>
  <si>
    <t>Aprovisionamientos</t>
  </si>
  <si>
    <t>Gastos de personal</t>
  </si>
  <si>
    <t>Otros gastos de explotación</t>
  </si>
  <si>
    <t>Amortización del inmovilizado</t>
  </si>
  <si>
    <t>BALANCE</t>
  </si>
  <si>
    <t>A) ACTIVO NO CORRIENTE</t>
  </si>
  <si>
    <t xml:space="preserve">     Inmovilizado material</t>
  </si>
  <si>
    <t>B) ACTIVO CORRIENTE</t>
  </si>
  <si>
    <t xml:space="preserve">     Existencias</t>
  </si>
  <si>
    <t xml:space="preserve">     Deudores comerciales y otras cuentas a cobrar</t>
  </si>
  <si>
    <t xml:space="preserve">     Efectivo y otros activos líquidos equivalentes</t>
  </si>
  <si>
    <t>TOTAL ACTIVO (A+B)</t>
  </si>
  <si>
    <t>A) PATRIMONIO NETO</t>
  </si>
  <si>
    <t xml:space="preserve">     Capital</t>
  </si>
  <si>
    <t xml:space="preserve">     Reservas</t>
  </si>
  <si>
    <t xml:space="preserve">     Resultado del ejercicio</t>
  </si>
  <si>
    <t>B) PASIVO NO CORRIENTE</t>
  </si>
  <si>
    <t xml:space="preserve">     Deudas a largo plazo</t>
  </si>
  <si>
    <t>C) PASIVO CORRIENTE</t>
  </si>
  <si>
    <t xml:space="preserve">     Acreedores comerciales y otras cuentas a pagar</t>
  </si>
  <si>
    <t>TOTAL PATRIMONIO NETO Y PASIVO (A+B+C)</t>
  </si>
  <si>
    <t>CUENTA DE PÉRDIDAS Y GANANCIAS</t>
  </si>
  <si>
    <t>A) RESULTADO DE EXPLOTACIÓN</t>
  </si>
  <si>
    <t xml:space="preserve">     Importe neto de la cifra de negocios</t>
  </si>
  <si>
    <t xml:space="preserve">     Aprovisionamientos</t>
  </si>
  <si>
    <t xml:space="preserve">     Gastos de personal</t>
  </si>
  <si>
    <t xml:space="preserve">     Otros gastos de explotación</t>
  </si>
  <si>
    <t xml:space="preserve">     Amortización del inmovilizado</t>
  </si>
  <si>
    <t>RESULTADO DEL EJERCICIO</t>
  </si>
  <si>
    <t>Maquinaria</t>
  </si>
  <si>
    <t>ANÁLISIS COMPARATIVO 2025 - 2024</t>
  </si>
  <si>
    <t>Var. €</t>
  </si>
  <si>
    <t>Var. %</t>
  </si>
  <si>
    <t>% s/total 2025</t>
  </si>
  <si>
    <t>% s/total 2024</t>
  </si>
  <si>
    <t>TOTAL ACTIVO</t>
  </si>
  <si>
    <t>TOTAL PN Y PASIVO</t>
  </si>
  <si>
    <t>RESULTADO DE EXPLOTACIÓN</t>
  </si>
  <si>
    <t>RATIOS</t>
  </si>
  <si>
    <t>Var.</t>
  </si>
  <si>
    <t>Liquidez (AC / PC)</t>
  </si>
  <si>
    <t>Prueba ácida ((AC - Existencias) / PC)</t>
  </si>
  <si>
    <t>Endeudamiento (Pasivo / PN)</t>
  </si>
  <si>
    <t>Solvencia (Activo / Pasivo)</t>
  </si>
  <si>
    <t>ROE (Resultado / PN)</t>
  </si>
  <si>
    <t>ROA (Resultado / Activo)</t>
  </si>
  <si>
    <t>Margen neto (Resultado / Ventas)</t>
  </si>
  <si>
    <t>CONCLUSIONES DEL ANÁLISIS 2025 - 2024</t>
  </si>
  <si>
    <t>1. Evolución del margen neto</t>
  </si>
  <si>
    <t>Las ventas crecen un 13,6%, pero el margen neto pasa del 12,3% al 12,0%. Peso de cada gasto sobre las ventas:</t>
  </si>
  <si>
    <t>Gasto</t>
  </si>
  <si>
    <t>% s/ventas 2024</t>
  </si>
  <si>
    <t>% s/ventas 2025</t>
  </si>
  <si>
    <t>Efecto en margen</t>
  </si>
  <si>
    <t>Margen neto</t>
  </si>
  <si>
    <t>El factor que más resta margen es «Aprovisionamientos» (-1,5%), porque su peso sobre las ventas aumenta.</t>
  </si>
  <si>
    <t>Lo compensa parcialmente «Gastos de personal» (+1,1%), que crece menos que la facturación: se aprovechan economías de escala.</t>
  </si>
  <si>
    <t>A revisar: las existencias aumentan 20.000 €, así que no todo lo comprado se ha consumido. Con datos reales habría que comprobar la variación de existencias (cuenta 610), que reduciría el coste.</t>
  </si>
  <si>
    <t>2. Liquidez</t>
  </si>
  <si>
    <t>La liquidez (AC / PC) pasa de 3,38 a 2,88. El activo corriente varía en 0 € y el pasivo corriente en 25.000 €. Dentro del activo corriente, la caja pasa de 240.000 € a 190.000 €.</t>
  </si>
  <si>
    <t>3. ¿Por qué cambia la caja?</t>
  </si>
  <si>
    <t>Resultado + amortización</t>
  </si>
  <si>
    <t>Variación del circulante (clientes, existencias, proveedores, HP)</t>
  </si>
  <si>
    <t>Inversión en inmovilizado</t>
  </si>
  <si>
    <t>Variación de la deuda a largo plazo</t>
  </si>
  <si>
    <t>Dividendos (estimados)</t>
  </si>
  <si>
    <t>Variación de caja</t>
  </si>
  <si>
    <t>La conciliación cuadra con la variación real de la caja. La mayor salida es «Dividendos (estimados)» (115.000 €).</t>
  </si>
  <si>
    <t>Nota: los dividendos se estiman como la variación del patrimonio neto que no explica el resultado del ejercicio (se supone que no hay ampliaciones de capital).</t>
  </si>
  <si>
    <t>CUENTAS ANUALES 2025</t>
  </si>
  <si>
    <t>Balance, Pérdidas y Ganancias y análisis comparativo 2025 - 2024</t>
  </si>
  <si>
    <t>Actualizado el 14/10/2026 13:45   ·   7 hojas en el libro</t>
  </si>
  <si>
    <t>CIFRAS CLAVE DEL EJERCICIO</t>
  </si>
  <si>
    <t>CIFRA DE NEGOCIOS</t>
  </si>
  <si>
    <t>PATRIMONIO NETO</t>
  </si>
  <si>
    <t>CONTENIDO DEL LIBRO</t>
  </si>
  <si>
    <t>Nº</t>
  </si>
  <si>
    <t>HOJA (clic para ir)</t>
  </si>
  <si>
    <t>QUÉ CONTIENE</t>
  </si>
  <si>
    <t>MACRO QUE LA GENERA</t>
  </si>
  <si>
    <t>SumasSaldos</t>
  </si>
  <si>
    <t>Balance de sumas y saldos 2025 (datos de partida): cuenta, descripción y saldo.</t>
  </si>
  <si>
    <t>CrearDatosEjemplo</t>
  </si>
  <si>
    <t>Resumen</t>
  </si>
  <si>
    <t>Saldos agrupados por los 7 grupos del PGC, con una comprobación de cuadre que debe dar 0.</t>
  </si>
  <si>
    <t>ResumenPorGrupos</t>
  </si>
  <si>
    <t>Mapeo</t>
  </si>
  <si>
    <t>Tabla puente: asigna cada cuenta a su masa (ANC, AC, PN, PNC, PC, PyG) y a su epígrafe de las cuentas anuales.</t>
  </si>
  <si>
    <t>CrearMapeo</t>
  </si>
  <si>
    <t>CuentasAnuales</t>
  </si>
  <si>
    <t>Balance de situación y Cuenta de pérdidas y ganancias, construidos a partir del mapeo.</t>
  </si>
  <si>
    <t>GenerarCuentasAnuales</t>
  </si>
  <si>
    <t>SumasSaldos2024</t>
  </si>
  <si>
    <t>Sumas y saldos del ejercicio anterior, base para la comparación.</t>
  </si>
  <si>
    <t>CrearDatos2024</t>
  </si>
  <si>
    <t>Analisis</t>
  </si>
  <si>
    <t>Comparativa entre ejercicios por epígrafe (variación en € y %, peso sobre el total) y ratios de liquidez, solvencia y rentabilidad.</t>
  </si>
  <si>
    <t>AnalisisComparativo</t>
  </si>
  <si>
    <t>Conclusiones</t>
  </si>
  <si>
    <t>Interpretación de los resultados: evolución del margen, estructura de gastos y conclusiones finales.</t>
  </si>
  <si>
    <t>GenerarConclusiones</t>
  </si>
  <si>
    <t>CÓMO USAR ESTE LIBRO</t>
  </si>
  <si>
    <t>Haz clic en el nombre de una hoja del índice para ir directamente a ella.</t>
  </si>
  <si>
    <t>En cada hoja tienes un botón «Portada» arriba a la derecha para volver aquí.</t>
  </si>
  <si>
    <t>Orden de ejecución de las macros:  CrearDatosEjemplo  &gt;  ResumenPorGrupos  &gt;  CrearMapeo  &gt;  GenerarCuentasAnuales  &gt;  CrearDatos2024  &gt;  AnalisisComparativo  &gt;  GenerarConclusiones.</t>
  </si>
  <si>
    <t>Las macros se lanzan con Alt + F8 (o en Programador &gt; Macros) y el código se ve con Alt + F11.</t>
  </si>
  <si>
    <t>Si regeneras alguna hoja, pulsa «Actualizar portada» (o ejecuta CrearPortada) para refrescar cifras, enlaces y botones.</t>
  </si>
  <si>
    <t>Portada generada con la macro CrearPortada (módulo Mod5Portada).</t>
  </si>
  <si>
    <t>Grupo</t>
  </si>
  <si>
    <t>Financiación básica</t>
  </si>
  <si>
    <t>Inmovilizado</t>
  </si>
  <si>
    <t>Acreedores y deudores</t>
  </si>
  <si>
    <t>Cuentas financieras</t>
  </si>
  <si>
    <t>Compras y gastos</t>
  </si>
  <si>
    <t>Ventas e ingresos</t>
  </si>
  <si>
    <t>Comprobación (debe ser 0)</t>
  </si>
  <si>
    <t>Resultado del ejercicio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</si>
</sst>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#,##0\ &quot;€&quot;;[Red]\-#,##0\ &quot;€&quot;"/>
    <numFmt numFmtId="164" formatCode="0.0%"/>
    <numFmt numFmtId="165" formatCode="\+0.0%;[Red]\-0.0%"/>
    <numFmt numFmtId="166" formatCode="[Color10]\+0.0%\ &quot;vs 2024&quot;;[Red]\-0.0%\ &quot;vs 2024&quot;;0.0%\ &quot;vs 2024&quot;"/>
    <numFmt numFmtId="167" formatCode="#,##0;[Red]\-#,##0"/>
  </numFmts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Arial Unicode MS"/>
    </font>
    <font>
      <b/>
      <sz val="11"/>
      <color rgb="FFFFFFFF"/>
      <name val="Calibri"/>
      <family val="2"/>
      <scheme val="minor"/>
    </font>
    <font>
      <b/>
      <sz val="16"/>
      <color rgb="FF1F4E79"/>
      <name val="Calibri"/>
      <family val="2"/>
      <scheme val="minor"/>
    </font>
    <font>
      <b/>
      <sz val="12"/>
      <color rgb="FF1F4E79"/>
      <name val="Calibri"/>
      <family val="2"/>
      <scheme val="minor"/>
    </font>
    <font>
      <sz val="11"/>
      <color rgb="FF262626"/>
      <name val="Calibri"/>
      <family val="2"/>
      <scheme val="minor"/>
    </font>
    <font>
      <b/>
      <sz val="26"/>
      <color rgb="FFFFFFFF"/>
      <name val="Calibri"/>
      <family val="2"/>
      <scheme val="minor"/>
    </font>
    <font>
      <sz val="13"/>
      <color rgb="FFBDD7EE"/>
      <name val="Calibri"/>
      <family val="2"/>
      <scheme val="minor"/>
    </font>
    <font>
      <sz val="10"/>
      <color rgb="FF262626"/>
      <name val="Calibri"/>
      <family val="2"/>
      <scheme val="minor"/>
    </font>
    <font>
      <sz val="10"/>
      <color rgb="FFBDD7EE"/>
      <name val="Calibri"/>
      <family val="2"/>
      <scheme val="minor"/>
    </font>
    <font>
      <b/>
      <sz val="12"/>
      <color rgb="FF1F3864"/>
      <name val="Calibri"/>
      <family val="2"/>
      <scheme val="minor"/>
    </font>
    <font>
      <b/>
      <sz val="9"/>
      <color rgb="FF6E6E6E"/>
      <name val="Calibri"/>
      <family val="2"/>
      <scheme val="minor"/>
    </font>
    <font>
      <b/>
      <sz val="20"/>
      <color rgb="FF1F3864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2F75B5"/>
      <name val="Calibri"/>
      <family val="2"/>
      <scheme val="minor"/>
    </font>
    <font>
      <sz val="10"/>
      <color rgb="FF6E6E6E"/>
      <name val="Consolas"/>
      <family val="3"/>
    </font>
    <font>
      <b/>
      <sz val="11"/>
      <color rgb="FF2F75B5"/>
      <name val="Calibri"/>
      <family val="2"/>
      <scheme val="minor"/>
    </font>
    <font>
      <i/>
      <sz val="9"/>
      <color rgb="FF6E6E6E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F2F6FC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rgb="FF2F75B5"/>
      </bottom>
      <diagonal/>
    </border>
    <border>
      <left style="thick">
        <color rgb="FF2F75B5"/>
      </left>
      <right/>
      <top/>
      <bottom/>
      <diagonal/>
    </border>
    <border>
      <left style="thick">
        <color rgb="FF2F75B5"/>
      </left>
      <right style="thick">
        <color rgb="FFFFFFFF"/>
      </right>
      <top/>
      <bottom/>
      <diagonal/>
    </border>
    <border>
      <left/>
      <right/>
      <top style="thin">
        <color rgb="FFD9E1F2"/>
      </top>
      <bottom style="thin">
        <color rgb="FFD9E1F2"/>
      </bottom>
      <diagonal/>
    </border>
    <border>
      <left style="thick">
        <color rgb="FF2F75B5"/>
      </left>
      <right/>
      <top style="thin">
        <color rgb="FFD9E1F2"/>
      </top>
      <bottom/>
      <diagonal/>
    </border>
    <border>
      <left/>
      <right/>
      <top style="thin">
        <color rgb="FFD9E1F2"/>
      </top>
      <bottom/>
      <diagonal/>
    </border>
    <border>
      <left style="thick">
        <color rgb="FFFFD966"/>
      </left>
      <right/>
      <top style="thin">
        <color rgb="FFD9E1F2"/>
      </top>
      <bottom/>
      <diagonal/>
    </border>
    <border>
      <left style="thick">
        <color rgb="FFF4B084"/>
      </left>
      <right/>
      <top style="thin">
        <color rgb="FFD9E1F2"/>
      </top>
      <bottom style="thin">
        <color rgb="FFD9E1F2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61">
    <xf numFmtId="0" fontId="0" fillId="0" borderId="0" xfId="0"/>
    <xf numFmtId="0" fontId="1" fillId="0" borderId="0" xfId="0" applyFont="1"/>
    <xf numFmtId="2" fontId="0" fillId="0" borderId="0" xfId="0" applyNumberFormat="1"/>
    <xf numFmtId="164" fontId="0" fillId="0" borderId="0" xfId="0" applyNumberFormat="1"/>
    <xf numFmtId="38" fontId="1" fillId="0" borderId="0" xfId="0" applyNumberFormat="1" applyFont="1"/>
    <xf numFmtId="38" fontId="0" fillId="0" borderId="0" xfId="0" applyNumberFormat="1"/>
    <xf numFmtId="0" fontId="2" fillId="0" borderId="0" xfId="0" applyFont="1"/>
    <xf numFmtId="0" fontId="3" fillId="0" borderId="0" xfId="0" applyFont="1"/>
    <xf numFmtId="0" fontId="1" fillId="2" borderId="0" xfId="0" applyFont="1" applyFill="1"/>
    <xf numFmtId="38" fontId="1" fillId="2" borderId="0" xfId="0" applyNumberFormat="1" applyFont="1" applyFill="1"/>
    <xf numFmtId="0" fontId="2" fillId="3" borderId="0" xfId="0" applyFont="1" applyFill="1"/>
    <xf numFmtId="38" fontId="0" fillId="3" borderId="0" xfId="0" applyNumberFormat="1" applyFill="1"/>
    <xf numFmtId="164" fontId="1" fillId="0" borderId="0" xfId="0" applyNumberFormat="1" applyFont="1"/>
    <xf numFmtId="0" fontId="4" fillId="4" borderId="0" xfId="0" applyFont="1" applyFill="1"/>
    <xf numFmtId="164" fontId="4" fillId="4" borderId="0" xfId="0" applyNumberFormat="1" applyFont="1" applyFill="1"/>
    <xf numFmtId="0" fontId="5" fillId="0" borderId="0" xfId="0" applyFont="1"/>
    <xf numFmtId="0" fontId="6" fillId="0" borderId="0" xfId="0" applyFont="1"/>
    <xf numFmtId="0" fontId="0" fillId="0" borderId="0" xfId="0" applyAlignment="1">
      <alignment vertical="top" wrapText="1"/>
    </xf>
    <xf numFmtId="165" fontId="0" fillId="0" borderId="0" xfId="0" applyNumberFormat="1"/>
    <xf numFmtId="165" fontId="1" fillId="0" borderId="0" xfId="0" applyNumberFormat="1" applyFont="1"/>
    <xf numFmtId="1" fontId="4" fillId="4" borderId="0" xfId="0" applyNumberFormat="1" applyFont="1" applyFill="1"/>
    <xf numFmtId="38" fontId="4" fillId="4" borderId="0" xfId="0" applyNumberFormat="1" applyFont="1" applyFill="1"/>
    <xf numFmtId="0" fontId="7" fillId="0" borderId="0" xfId="0" applyFont="1" applyAlignment="1">
      <alignment vertical="center"/>
    </xf>
    <xf numFmtId="0" fontId="7" fillId="5" borderId="0" xfId="0" applyFont="1" applyFill="1" applyAlignment="1">
      <alignment vertical="center"/>
    </xf>
    <xf numFmtId="0" fontId="7" fillId="6" borderId="0" xfId="0" applyFont="1" applyFill="1" applyAlignment="1">
      <alignment vertical="center"/>
    </xf>
    <xf numFmtId="0" fontId="8" fillId="5" borderId="0" xfId="0" applyFont="1" applyFill="1" applyAlignment="1">
      <alignment vertical="center"/>
    </xf>
    <xf numFmtId="0" fontId="9" fillId="5" borderId="0" xfId="0" applyFont="1" applyFill="1" applyAlignment="1">
      <alignment vertical="center"/>
    </xf>
    <xf numFmtId="0" fontId="11" fillId="5" borderId="0" xfId="0" applyFont="1" applyFill="1" applyAlignment="1">
      <alignment vertical="center"/>
    </xf>
    <xf numFmtId="0" fontId="12" fillId="0" borderId="1" xfId="0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13" fillId="7" borderId="3" xfId="0" applyFont="1" applyFill="1" applyBorder="1" applyAlignment="1">
      <alignment horizontal="left" vertical="center" indent="1"/>
    </xf>
    <xf numFmtId="6" fontId="14" fillId="7" borderId="3" xfId="0" applyNumberFormat="1" applyFont="1" applyFill="1" applyBorder="1" applyAlignment="1">
      <alignment horizontal="left" vertical="center" indent="1"/>
    </xf>
    <xf numFmtId="166" fontId="10" fillId="7" borderId="3" xfId="0" applyNumberFormat="1" applyFont="1" applyFill="1" applyBorder="1" applyAlignment="1">
      <alignment horizontal="left" vertical="center" indent="1"/>
    </xf>
    <xf numFmtId="0" fontId="13" fillId="7" borderId="2" xfId="0" applyFont="1" applyFill="1" applyBorder="1" applyAlignment="1">
      <alignment horizontal="left" vertical="center" indent="1"/>
    </xf>
    <xf numFmtId="6" fontId="14" fillId="7" borderId="2" xfId="0" applyNumberFormat="1" applyFont="1" applyFill="1" applyBorder="1" applyAlignment="1">
      <alignment horizontal="left" vertical="center" indent="1"/>
    </xf>
    <xf numFmtId="166" fontId="10" fillId="7" borderId="2" xfId="0" applyNumberFormat="1" applyFont="1" applyFill="1" applyBorder="1" applyAlignment="1">
      <alignment horizontal="left" vertical="center" indent="1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 indent="1"/>
    </xf>
    <xf numFmtId="0" fontId="12" fillId="7" borderId="2" xfId="0" applyFont="1" applyFill="1" applyBorder="1" applyAlignment="1">
      <alignment horizontal="center" vertical="center"/>
    </xf>
    <xf numFmtId="0" fontId="16" fillId="7" borderId="0" xfId="1" applyFont="1" applyFill="1" applyBorder="1" applyAlignment="1">
      <alignment horizontal="left" vertical="center" indent="1"/>
    </xf>
    <xf numFmtId="0" fontId="17" fillId="7" borderId="0" xfId="0" applyFont="1" applyFill="1" applyAlignment="1">
      <alignment horizontal="left" vertical="center" indent="1"/>
    </xf>
    <xf numFmtId="0" fontId="12" fillId="0" borderId="5" xfId="0" applyFont="1" applyBorder="1" applyAlignment="1">
      <alignment horizontal="center" vertical="center"/>
    </xf>
    <xf numFmtId="0" fontId="16" fillId="0" borderId="6" xfId="1" applyFont="1" applyBorder="1" applyAlignment="1">
      <alignment horizontal="left" vertical="center" indent="1"/>
    </xf>
    <xf numFmtId="0" fontId="17" fillId="0" borderId="6" xfId="0" applyFont="1" applyBorder="1" applyAlignment="1">
      <alignment horizontal="left" vertical="center" indent="1"/>
    </xf>
    <xf numFmtId="0" fontId="16" fillId="7" borderId="4" xfId="1" applyFont="1" applyFill="1" applyBorder="1" applyAlignment="1">
      <alignment horizontal="left" vertical="center" indent="1"/>
    </xf>
    <xf numFmtId="0" fontId="17" fillId="7" borderId="4" xfId="0" applyFont="1" applyFill="1" applyBorder="1" applyAlignment="1">
      <alignment horizontal="left" vertical="center" indent="1"/>
    </xf>
    <xf numFmtId="0" fontId="12" fillId="7" borderId="7" xfId="0" applyFont="1" applyFill="1" applyBorder="1" applyAlignment="1">
      <alignment horizontal="center" vertical="center"/>
    </xf>
    <xf numFmtId="0" fontId="16" fillId="7" borderId="6" xfId="1" applyFont="1" applyFill="1" applyBorder="1" applyAlignment="1">
      <alignment horizontal="left" vertical="center" indent="1"/>
    </xf>
    <xf numFmtId="0" fontId="17" fillId="7" borderId="6" xfId="0" applyFont="1" applyFill="1" applyBorder="1" applyAlignment="1">
      <alignment horizontal="left" vertical="center" indent="1"/>
    </xf>
    <xf numFmtId="0" fontId="12" fillId="7" borderId="5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" fillId="0" borderId="6" xfId="0" applyFont="1" applyBorder="1" applyAlignment="1">
      <alignment vertical="center"/>
    </xf>
    <xf numFmtId="0" fontId="19" fillId="0" borderId="6" xfId="0" applyFont="1" applyBorder="1" applyAlignment="1">
      <alignment vertical="center"/>
    </xf>
    <xf numFmtId="0" fontId="10" fillId="7" borderId="4" xfId="0" applyFont="1" applyFill="1" applyBorder="1" applyAlignment="1">
      <alignment horizontal="left" vertical="center" wrapText="1" indent="1"/>
    </xf>
    <xf numFmtId="0" fontId="10" fillId="0" borderId="0" xfId="0" applyFont="1" applyAlignment="1">
      <alignment vertical="center" wrapText="1"/>
    </xf>
    <xf numFmtId="0" fontId="10" fillId="7" borderId="0" xfId="0" applyFont="1" applyFill="1" applyAlignment="1">
      <alignment horizontal="left" vertical="center" wrapText="1" indent="1"/>
    </xf>
    <xf numFmtId="0" fontId="10" fillId="0" borderId="6" xfId="0" applyFont="1" applyBorder="1" applyAlignment="1">
      <alignment horizontal="left" vertical="center" wrapText="1" indent="1"/>
    </xf>
    <xf numFmtId="0" fontId="10" fillId="7" borderId="6" xfId="0" applyFont="1" applyFill="1" applyBorder="1" applyAlignment="1">
      <alignment horizontal="left" vertical="center" wrapText="1" indent="1"/>
    </xf>
    <xf numFmtId="167" fontId="1" fillId="0" borderId="0" xfId="0" applyNumberFormat="1" applyFont="1"/>
    <xf numFmtId="167" fontId="0" fillId="0" borderId="0" xfId="0" applyNumberFormat="1"/>
  </cellXfs>
  <cellStyles count="2">
    <cellStyle name="Hipervínculo" xfId="1" builtinId="8"/>
    <cellStyle name="Normal" xfId="0" builtinId="0"/>
  </cellStyles>
  <dxfs count="2">
    <dxf>
      <font>
        <color rgb="FF008000"/>
      </font>
    </dxf>
    <dxf>
      <font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Portada'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Portada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'Portada'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'Portada'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'Portada'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'Portada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237672</xdr:colOff>
      <xdr:row>2</xdr:row>
      <xdr:rowOff>112486</xdr:rowOff>
    </xdr:from>
    <xdr:to>
      <xdr:col>5</xdr:col>
      <xdr:colOff>1825172</xdr:colOff>
      <xdr:row>2</xdr:row>
      <xdr:rowOff>442686</xdr:rowOff>
    </xdr:to>
    <xdr:sp macro="CrearPortad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5CE9B89-A535-0919-E3C1-EAE9BDD55167}"/>
            </a:ext>
          </a:extLst>
        </xdr:cNvPr>
        <xdr:cNvSpPr/>
      </xdr:nvSpPr>
      <xdr:spPr>
        <a:xfrm>
          <a:off x="6567715" y="422729"/>
          <a:ext cx="1587500" cy="330200"/>
        </a:xfrm>
        <a:prstGeom prst="round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lang="es-ES" sz="1000" b="1">
              <a:solidFill>
                <a:srgbClr val="1F3864"/>
              </a:solidFill>
              <a:latin typeface="Calibri" panose="020F0502020204030204" pitchFamily="34" charset="0"/>
            </a:rPr>
            <a:t>Actualizar portada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0</xdr:colOff>
      <xdr:row>0</xdr:row>
      <xdr:rowOff>25400</xdr:rowOff>
    </xdr:from>
    <xdr:to>
      <xdr:col>5</xdr:col>
      <xdr:colOff>359228</xdr:colOff>
      <xdr:row>1</xdr:row>
      <xdr:rowOff>119743</xdr:rowOff>
    </xdr:to>
    <xdr:sp macro="" textlink="">
      <xdr:nvSpPr>
        <xdr:cNvPr id="2" name="btnVolverPortada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6660AD4D-F4B3-F654-F4B1-7A6440AEB480}"/>
            </a:ext>
          </a:extLst>
        </xdr:cNvPr>
        <xdr:cNvSpPr/>
      </xdr:nvSpPr>
      <xdr:spPr>
        <a:xfrm>
          <a:off x="4370614" y="25400"/>
          <a:ext cx="1143000" cy="279400"/>
        </a:xfrm>
        <a:prstGeom prst="roundRect">
          <a:avLst/>
        </a:prstGeom>
        <a:solidFill>
          <a:srgbClr val="1F386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lang="es-ES" sz="1000" b="1">
              <a:solidFill>
                <a:srgbClr val="FFFFFF"/>
              </a:solidFill>
              <a:latin typeface="Calibri" panose="020F0502020204030204" pitchFamily="34" charset="0"/>
            </a:rPr>
            <a:t>« Portada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0</xdr:colOff>
      <xdr:row>0</xdr:row>
      <xdr:rowOff>25400</xdr:rowOff>
    </xdr:from>
    <xdr:to>
      <xdr:col>5</xdr:col>
      <xdr:colOff>359229</xdr:colOff>
      <xdr:row>1</xdr:row>
      <xdr:rowOff>119743</xdr:rowOff>
    </xdr:to>
    <xdr:sp macro="" textlink="">
      <xdr:nvSpPr>
        <xdr:cNvPr id="2" name="btnVolverPortada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39B29EAE-137E-DB13-1974-E37F03B86CAF}"/>
            </a:ext>
          </a:extLst>
        </xdr:cNvPr>
        <xdr:cNvSpPr/>
      </xdr:nvSpPr>
      <xdr:spPr>
        <a:xfrm>
          <a:off x="4468586" y="25400"/>
          <a:ext cx="1143000" cy="279400"/>
        </a:xfrm>
        <a:prstGeom prst="roundRect">
          <a:avLst/>
        </a:prstGeom>
        <a:solidFill>
          <a:srgbClr val="1F386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lang="es-ES" sz="1000" b="1">
              <a:solidFill>
                <a:srgbClr val="FFFFFF"/>
              </a:solidFill>
              <a:latin typeface="Calibri" panose="020F0502020204030204" pitchFamily="34" charset="0"/>
            </a:rPr>
            <a:t>« Portada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779569</xdr:colOff>
      <xdr:row>0</xdr:row>
      <xdr:rowOff>25400</xdr:rowOff>
    </xdr:from>
    <xdr:to>
      <xdr:col>4</xdr:col>
      <xdr:colOff>351718</xdr:colOff>
      <xdr:row>1</xdr:row>
      <xdr:rowOff>70551</xdr:rowOff>
    </xdr:to>
    <xdr:sp macro="" textlink="">
      <xdr:nvSpPr>
        <xdr:cNvPr id="2" name="btnVolverPortada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BB568662-4DD0-B1F8-7807-E62630A69604}"/>
            </a:ext>
          </a:extLst>
        </xdr:cNvPr>
        <xdr:cNvSpPr/>
      </xdr:nvSpPr>
      <xdr:spPr>
        <a:xfrm>
          <a:off x="4816928" y="25400"/>
          <a:ext cx="1143000" cy="279400"/>
        </a:xfrm>
        <a:prstGeom prst="roundRect">
          <a:avLst/>
        </a:prstGeom>
        <a:solidFill>
          <a:srgbClr val="1F386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lang="es-ES" sz="1000" b="1">
              <a:solidFill>
                <a:srgbClr val="FFFFFF"/>
              </a:solidFill>
              <a:latin typeface="Calibri" panose="020F0502020204030204" pitchFamily="34" charset="0"/>
            </a:rPr>
            <a:t>« Portada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0</xdr:colOff>
      <xdr:row>0</xdr:row>
      <xdr:rowOff>25400</xdr:rowOff>
    </xdr:from>
    <xdr:to>
      <xdr:col>5</xdr:col>
      <xdr:colOff>359228</xdr:colOff>
      <xdr:row>1</xdr:row>
      <xdr:rowOff>119743</xdr:rowOff>
    </xdr:to>
    <xdr:sp macro="" textlink="">
      <xdr:nvSpPr>
        <xdr:cNvPr id="2" name="btnVolverPortada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87726C73-46C2-664A-7962-5DDFEAF5435C}"/>
            </a:ext>
          </a:extLst>
        </xdr:cNvPr>
        <xdr:cNvSpPr/>
      </xdr:nvSpPr>
      <xdr:spPr>
        <a:xfrm>
          <a:off x="4370614" y="25400"/>
          <a:ext cx="1143000" cy="279400"/>
        </a:xfrm>
        <a:prstGeom prst="roundRect">
          <a:avLst/>
        </a:prstGeom>
        <a:solidFill>
          <a:srgbClr val="1F386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lang="es-ES" sz="1000" b="1">
              <a:solidFill>
                <a:srgbClr val="FFFFFF"/>
              </a:solidFill>
              <a:latin typeface="Calibri" panose="020F0502020204030204" pitchFamily="34" charset="0"/>
            </a:rPr>
            <a:t>« Portada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0</xdr:colOff>
      <xdr:row>0</xdr:row>
      <xdr:rowOff>25400</xdr:rowOff>
    </xdr:from>
    <xdr:to>
      <xdr:col>9</xdr:col>
      <xdr:colOff>359228</xdr:colOff>
      <xdr:row>1</xdr:row>
      <xdr:rowOff>70757</xdr:rowOff>
    </xdr:to>
    <xdr:sp macro="" textlink="">
      <xdr:nvSpPr>
        <xdr:cNvPr id="2" name="btnVolverPortada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B7B28D89-8E59-DBEC-5AC6-0B3F462684EE}"/>
            </a:ext>
          </a:extLst>
        </xdr:cNvPr>
        <xdr:cNvSpPr/>
      </xdr:nvSpPr>
      <xdr:spPr>
        <a:xfrm>
          <a:off x="10014857" y="25400"/>
          <a:ext cx="1143000" cy="279400"/>
        </a:xfrm>
        <a:prstGeom prst="roundRect">
          <a:avLst/>
        </a:prstGeom>
        <a:solidFill>
          <a:srgbClr val="1F386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lang="es-ES" sz="1000" b="1">
              <a:solidFill>
                <a:srgbClr val="FFFFFF"/>
              </a:solidFill>
              <a:latin typeface="Calibri" panose="020F0502020204030204" pitchFamily="34" charset="0"/>
            </a:rPr>
            <a:t>« Portada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779884</xdr:colOff>
      <xdr:row>0</xdr:row>
      <xdr:rowOff>25400</xdr:rowOff>
    </xdr:from>
    <xdr:to>
      <xdr:col>7</xdr:col>
      <xdr:colOff>352229</xdr:colOff>
      <xdr:row>1</xdr:row>
      <xdr:rowOff>118187</xdr:rowOff>
    </xdr:to>
    <xdr:sp macro="" textlink="">
      <xdr:nvSpPr>
        <xdr:cNvPr id="2" name="btnVolverPortada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34F0DCE3-A7F1-E2A4-92F4-58611D2E61CC}"/>
            </a:ext>
          </a:extLst>
        </xdr:cNvPr>
        <xdr:cNvSpPr/>
      </xdr:nvSpPr>
      <xdr:spPr>
        <a:xfrm>
          <a:off x="10227128" y="25400"/>
          <a:ext cx="1143000" cy="279400"/>
        </a:xfrm>
        <a:prstGeom prst="roundRect">
          <a:avLst/>
        </a:prstGeom>
        <a:solidFill>
          <a:srgbClr val="1F386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lang="es-ES" sz="1000" b="1">
              <a:solidFill>
                <a:srgbClr val="FFFFFF"/>
              </a:solidFill>
              <a:latin typeface="Calibri" panose="020F0502020204030204" pitchFamily="34" charset="0"/>
            </a:rPr>
            <a:t>« Portada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4B3DA-E13A-4244-B036-F3241A87219B}">
  <sheetPr codeName="Hoja2">
    <tabColor rgb="FF1F3864"/>
  </sheetPr>
  <dimension ref="B2:F34"/>
  <sheetViews>
    <sheetView showGridLines="0" showRowColHeaders="0" zoomScale="62" zoomScaleNormal="100" workbookViewId="0"/>
  </sheetViews>
  <sheetFormatPr baseColWidth="10" defaultRowHeight="14.6"/>
  <cols>
    <col min="1" max="1" width="2.69140625" style="22" customWidth="1"/>
    <col min="2" max="2" width="6.69140625" style="22" customWidth="1"/>
    <col min="3" max="6" width="26.69140625" style="22" customWidth="1"/>
    <col min="7" max="7" width="2.69140625" style="22" customWidth="1"/>
    <col min="8" max="16384" width="11.07421875" style="22"/>
  </cols>
  <sheetData>
    <row r="2" spans="2:6" ht="10" customHeight="1">
      <c r="B2" s="23"/>
      <c r="C2" s="23"/>
      <c r="D2" s="23"/>
      <c r="E2" s="23"/>
      <c r="F2" s="23"/>
    </row>
    <row r="3" spans="2:6" ht="44.05" customHeight="1">
      <c r="B3" s="25" t="s">
        <v>109</v>
      </c>
      <c r="C3" s="23"/>
      <c r="D3" s="23"/>
      <c r="E3" s="23"/>
      <c r="F3" s="23"/>
    </row>
    <row r="4" spans="2:6" ht="22" customHeight="1">
      <c r="B4" s="26" t="s">
        <v>110</v>
      </c>
      <c r="C4" s="23"/>
      <c r="D4" s="23"/>
      <c r="E4" s="23"/>
      <c r="F4" s="23"/>
    </row>
    <row r="5" spans="2:6" ht="20.05" customHeight="1">
      <c r="B5" s="27" t="s">
        <v>111</v>
      </c>
      <c r="C5" s="23"/>
      <c r="D5" s="23"/>
      <c r="E5" s="23"/>
      <c r="F5" s="23"/>
    </row>
    <row r="6" spans="2:6" ht="10" customHeight="1">
      <c r="B6" s="23"/>
      <c r="C6" s="23"/>
      <c r="D6" s="23"/>
      <c r="E6" s="23"/>
      <c r="F6" s="23"/>
    </row>
    <row r="7" spans="2:6" ht="4" customHeight="1">
      <c r="B7" s="24"/>
      <c r="C7" s="24"/>
      <c r="D7" s="24"/>
      <c r="E7" s="24"/>
      <c r="F7" s="24"/>
    </row>
    <row r="9" spans="2:6" ht="24" customHeight="1" thickBot="1">
      <c r="B9" s="28" t="s">
        <v>112</v>
      </c>
      <c r="C9" s="29"/>
      <c r="D9" s="29"/>
      <c r="E9" s="29"/>
      <c r="F9" s="29"/>
    </row>
    <row r="10" spans="2:6" ht="8.0500000000000007" customHeight="1"/>
    <row r="11" spans="2:6" ht="22" customHeight="1">
      <c r="C11" s="33" t="s">
        <v>113</v>
      </c>
      <c r="D11" s="33" t="s">
        <v>68</v>
      </c>
      <c r="E11" s="33" t="s">
        <v>75</v>
      </c>
      <c r="F11" s="30" t="s">
        <v>114</v>
      </c>
    </row>
    <row r="12" spans="2:6" ht="36" customHeight="1">
      <c r="C12" s="34">
        <v>1250000</v>
      </c>
      <c r="D12" s="34">
        <v>150000</v>
      </c>
      <c r="E12" s="34">
        <v>880000</v>
      </c>
      <c r="F12" s="31">
        <v>510000</v>
      </c>
    </row>
    <row r="13" spans="2:6" ht="22" customHeight="1">
      <c r="C13" s="35">
        <v>0.13636363636363635</v>
      </c>
      <c r="D13" s="35">
        <v>0.1111111111111111</v>
      </c>
      <c r="E13" s="35">
        <v>1.1494252873563218E-2</v>
      </c>
      <c r="F13" s="32">
        <v>7.3684210526315783E-2</v>
      </c>
    </row>
    <row r="15" spans="2:6" ht="24" customHeight="1" thickBot="1">
      <c r="B15" s="28" t="s">
        <v>115</v>
      </c>
      <c r="C15" s="29"/>
      <c r="D15" s="29"/>
      <c r="E15" s="29"/>
      <c r="F15" s="29"/>
    </row>
    <row r="16" spans="2:6" ht="8.0500000000000007" customHeight="1"/>
    <row r="17" spans="2:6">
      <c r="B17" s="36" t="s">
        <v>116</v>
      </c>
      <c r="C17" s="37" t="s">
        <v>117</v>
      </c>
      <c r="D17" s="37" t="s">
        <v>118</v>
      </c>
      <c r="E17" s="37"/>
      <c r="F17" s="37" t="s">
        <v>119</v>
      </c>
    </row>
    <row r="18" spans="2:6" ht="36" customHeight="1">
      <c r="B18" s="38">
        <v>1</v>
      </c>
      <c r="C18" s="39" t="s">
        <v>120</v>
      </c>
      <c r="D18" s="56" t="s">
        <v>121</v>
      </c>
      <c r="E18" s="56"/>
      <c r="F18" s="40" t="s">
        <v>122</v>
      </c>
    </row>
    <row r="19" spans="2:6" ht="36" customHeight="1">
      <c r="B19" s="41">
        <v>2</v>
      </c>
      <c r="C19" s="42" t="s">
        <v>123</v>
      </c>
      <c r="D19" s="57" t="s">
        <v>124</v>
      </c>
      <c r="E19" s="57"/>
      <c r="F19" s="43" t="s">
        <v>125</v>
      </c>
    </row>
    <row r="20" spans="2:6" ht="36" customHeight="1">
      <c r="B20" s="46">
        <v>3</v>
      </c>
      <c r="C20" s="47" t="s">
        <v>126</v>
      </c>
      <c r="D20" s="58" t="s">
        <v>127</v>
      </c>
      <c r="E20" s="58"/>
      <c r="F20" s="48" t="s">
        <v>128</v>
      </c>
    </row>
    <row r="21" spans="2:6" ht="36" customHeight="1">
      <c r="B21" s="41">
        <v>4</v>
      </c>
      <c r="C21" s="42" t="s">
        <v>129</v>
      </c>
      <c r="D21" s="57" t="s">
        <v>130</v>
      </c>
      <c r="E21" s="57"/>
      <c r="F21" s="43" t="s">
        <v>131</v>
      </c>
    </row>
    <row r="22" spans="2:6" ht="36" customHeight="1">
      <c r="B22" s="49">
        <v>5</v>
      </c>
      <c r="C22" s="47" t="s">
        <v>132</v>
      </c>
      <c r="D22" s="58" t="s">
        <v>133</v>
      </c>
      <c r="E22" s="58"/>
      <c r="F22" s="48" t="s">
        <v>134</v>
      </c>
    </row>
    <row r="23" spans="2:6" ht="36" customHeight="1">
      <c r="B23" s="41">
        <v>6</v>
      </c>
      <c r="C23" s="42" t="s">
        <v>135</v>
      </c>
      <c r="D23" s="57" t="s">
        <v>136</v>
      </c>
      <c r="E23" s="57"/>
      <c r="F23" s="43" t="s">
        <v>137</v>
      </c>
    </row>
    <row r="24" spans="2:6" ht="36" customHeight="1">
      <c r="B24" s="50">
        <v>7</v>
      </c>
      <c r="C24" s="44" t="s">
        <v>138</v>
      </c>
      <c r="D24" s="54" t="s">
        <v>139</v>
      </c>
      <c r="E24" s="54"/>
      <c r="F24" s="45" t="s">
        <v>140</v>
      </c>
    </row>
    <row r="26" spans="2:6" ht="24" customHeight="1" thickBot="1">
      <c r="B26" s="28" t="s">
        <v>141</v>
      </c>
      <c r="C26" s="29"/>
      <c r="D26" s="29"/>
      <c r="E26" s="29"/>
      <c r="F26" s="29"/>
    </row>
    <row r="27" spans="2:6" ht="8.0500000000000007" customHeight="1"/>
    <row r="28" spans="2:6" ht="20.05" customHeight="1">
      <c r="B28" s="51">
        <v>1</v>
      </c>
      <c r="C28" s="55" t="s">
        <v>142</v>
      </c>
      <c r="D28" s="55"/>
      <c r="E28" s="55"/>
      <c r="F28" s="55"/>
    </row>
    <row r="29" spans="2:6" ht="20.05" customHeight="1">
      <c r="B29" s="51">
        <v>2</v>
      </c>
      <c r="C29" s="55" t="s">
        <v>143</v>
      </c>
      <c r="D29" s="55"/>
      <c r="E29" s="55"/>
      <c r="F29" s="55"/>
    </row>
    <row r="30" spans="2:6" ht="32.049999999999997" customHeight="1">
      <c r="B30" s="51">
        <v>3</v>
      </c>
      <c r="C30" s="55" t="s">
        <v>144</v>
      </c>
      <c r="D30" s="55"/>
      <c r="E30" s="55"/>
      <c r="F30" s="55"/>
    </row>
    <row r="31" spans="2:6" ht="20.05" customHeight="1">
      <c r="B31" s="51">
        <v>4</v>
      </c>
      <c r="C31" s="55" t="s">
        <v>145</v>
      </c>
      <c r="D31" s="55"/>
      <c r="E31" s="55"/>
      <c r="F31" s="55"/>
    </row>
    <row r="32" spans="2:6" ht="32.049999999999997" customHeight="1">
      <c r="B32" s="51">
        <v>5</v>
      </c>
      <c r="C32" s="55" t="s">
        <v>146</v>
      </c>
      <c r="D32" s="55"/>
      <c r="E32" s="55"/>
      <c r="F32" s="55"/>
    </row>
    <row r="34" spans="2:6">
      <c r="B34" s="53" t="s">
        <v>147</v>
      </c>
      <c r="C34" s="52"/>
      <c r="D34" s="52"/>
      <c r="E34" s="52"/>
      <c r="F34" s="52"/>
    </row>
  </sheetData>
  <mergeCells count="12">
    <mergeCell ref="C32:F32"/>
    <mergeCell ref="D18:E18"/>
    <mergeCell ref="D19:E19"/>
    <mergeCell ref="D20:E20"/>
    <mergeCell ref="D21:E21"/>
    <mergeCell ref="D22:E22"/>
    <mergeCell ref="D23:E23"/>
    <mergeCell ref="D24:E24"/>
    <mergeCell ref="C28:F28"/>
    <mergeCell ref="C29:F29"/>
    <mergeCell ref="C30:F30"/>
    <mergeCell ref="C31:F31"/>
  </mergeCells>
  <hyperlinks>
    <hyperlink ref="C18" location="'SumasSaldos'!A1" tooltip="Ir a la hoja SumasSaldos" display="SumasSaldos" xr:uid="{9C0C0947-27A9-436B-9D09-69A8318837FD}"/>
    <hyperlink ref="C19" location="'Resumen'!A1" tooltip="Ir a la hoja Resumen" display="Resumen" xr:uid="{42E0ACC9-763C-4CC1-8468-050295DD9BA2}"/>
    <hyperlink ref="C20" location="'Mapeo'!A1" tooltip="Ir a la hoja Mapeo" display="Mapeo" xr:uid="{C83BEA1F-0B1D-4105-A075-739867B62BF2}"/>
    <hyperlink ref="C21" location="'CuentasAnuales'!A1" tooltip="Ir a la hoja CuentasAnuales" display="CuentasAnuales" xr:uid="{70A3F925-1A89-42EE-9D81-455E7D668D4A}"/>
    <hyperlink ref="C22" location="'SumasSaldos2024'!A1" tooltip="Ir a la hoja SumasSaldos2024" display="SumasSaldos2024" xr:uid="{64E2BE36-DFD4-448C-AF97-E078F2BAD540}"/>
    <hyperlink ref="C23" location="'Analisis'!A1" tooltip="Ir a la hoja Analisis" display="Analisis" xr:uid="{D8FDF4F2-993F-40B0-A1B8-4CC7EFAF6725}"/>
    <hyperlink ref="C24" location="'Conclusiones'!A1" tooltip="Ir a la hoja Conclusiones" display="Conclusiones" xr:uid="{0984AC86-EE19-4B8E-B8A6-617DE8276229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B5BD4-911D-44DF-AF40-411FD970116C}">
  <sheetPr codeName="Hoja9"/>
  <dimension ref="A1:C19"/>
  <sheetViews>
    <sheetView workbookViewId="0">
      <selection activeCell="F12" sqref="F12"/>
    </sheetView>
  </sheetViews>
  <sheetFormatPr baseColWidth="10" defaultRowHeight="14.6"/>
  <cols>
    <col min="1" max="1" width="6.765625" bestFit="1" customWidth="1"/>
    <col min="2" max="2" width="34.3828125" bestFit="1" customWidth="1"/>
    <col min="3" max="3" width="9.53515625" style="5" bestFit="1" customWidth="1"/>
  </cols>
  <sheetData>
    <row r="1" spans="1:3">
      <c r="A1" s="1" t="s">
        <v>4</v>
      </c>
      <c r="B1" s="1" t="s">
        <v>5</v>
      </c>
      <c r="C1" s="4" t="s">
        <v>6</v>
      </c>
    </row>
    <row r="2" spans="1:3">
      <c r="A2">
        <v>100</v>
      </c>
      <c r="B2" t="s">
        <v>7</v>
      </c>
      <c r="C2" s="5">
        <v>-300000</v>
      </c>
    </row>
    <row r="3" spans="1:3">
      <c r="A3">
        <v>112</v>
      </c>
      <c r="B3" t="s">
        <v>8</v>
      </c>
      <c r="C3" s="5">
        <v>-60000</v>
      </c>
    </row>
    <row r="4" spans="1:3">
      <c r="A4">
        <v>170</v>
      </c>
      <c r="B4" t="s">
        <v>9</v>
      </c>
      <c r="C4" s="5">
        <v>-200000</v>
      </c>
    </row>
    <row r="5" spans="1:3">
      <c r="A5">
        <v>211</v>
      </c>
      <c r="B5" t="s">
        <v>10</v>
      </c>
      <c r="C5" s="5">
        <v>400000</v>
      </c>
    </row>
    <row r="6" spans="1:3">
      <c r="A6">
        <v>217</v>
      </c>
      <c r="B6" t="s">
        <v>11</v>
      </c>
      <c r="C6" s="5">
        <v>50000</v>
      </c>
    </row>
    <row r="7" spans="1:3">
      <c r="A7">
        <v>281</v>
      </c>
      <c r="B7" t="s">
        <v>12</v>
      </c>
      <c r="C7" s="5">
        <v>-90000</v>
      </c>
    </row>
    <row r="8" spans="1:3">
      <c r="A8">
        <v>300</v>
      </c>
      <c r="B8" t="s">
        <v>13</v>
      </c>
      <c r="C8" s="5">
        <v>120000</v>
      </c>
    </row>
    <row r="9" spans="1:3">
      <c r="A9">
        <v>400</v>
      </c>
      <c r="B9" t="s">
        <v>14</v>
      </c>
      <c r="C9" s="5">
        <v>-150000</v>
      </c>
    </row>
    <row r="10" spans="1:3">
      <c r="A10">
        <v>430</v>
      </c>
      <c r="B10" t="s">
        <v>15</v>
      </c>
      <c r="C10" s="5">
        <v>180000</v>
      </c>
    </row>
    <row r="11" spans="1:3">
      <c r="A11">
        <v>475</v>
      </c>
      <c r="B11" t="s">
        <v>16</v>
      </c>
      <c r="C11" s="5">
        <v>-20000</v>
      </c>
    </row>
    <row r="12" spans="1:3">
      <c r="A12">
        <v>572</v>
      </c>
      <c r="B12" t="s">
        <v>17</v>
      </c>
      <c r="C12" s="5">
        <v>190000</v>
      </c>
    </row>
    <row r="13" spans="1:3">
      <c r="A13">
        <v>600</v>
      </c>
      <c r="B13" t="s">
        <v>18</v>
      </c>
      <c r="C13" s="5">
        <v>700000</v>
      </c>
    </row>
    <row r="14" spans="1:3">
      <c r="A14">
        <v>621</v>
      </c>
      <c r="B14" t="s">
        <v>19</v>
      </c>
      <c r="C14" s="5">
        <v>40000</v>
      </c>
    </row>
    <row r="15" spans="1:3">
      <c r="A15">
        <v>640</v>
      </c>
      <c r="B15" t="s">
        <v>20</v>
      </c>
      <c r="C15" s="5">
        <v>250000</v>
      </c>
    </row>
    <row r="16" spans="1:3">
      <c r="A16">
        <v>642</v>
      </c>
      <c r="B16" t="s">
        <v>21</v>
      </c>
      <c r="C16" s="5">
        <v>80000</v>
      </c>
    </row>
    <row r="17" spans="1:3">
      <c r="A17">
        <v>681</v>
      </c>
      <c r="B17" t="s">
        <v>22</v>
      </c>
      <c r="C17" s="5">
        <v>30000</v>
      </c>
    </row>
    <row r="18" spans="1:3">
      <c r="A18">
        <v>700</v>
      </c>
      <c r="B18" t="s">
        <v>23</v>
      </c>
      <c r="C18" s="5">
        <v>-1250000</v>
      </c>
    </row>
    <row r="19" spans="1:3">
      <c r="A19" s="7">
        <v>213</v>
      </c>
      <c r="B19" t="s">
        <v>69</v>
      </c>
      <c r="C19" s="5">
        <v>30000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BEC00-226B-4B66-B512-9B639E2AEBF1}">
  <sheetPr codeName="Hoja10">
    <tabColor theme="7" tint="0.39997558519241921"/>
  </sheetPr>
  <dimension ref="A1:C19"/>
  <sheetViews>
    <sheetView workbookViewId="0">
      <selection activeCell="C22" sqref="C22"/>
    </sheetView>
  </sheetViews>
  <sheetFormatPr baseColWidth="10" defaultRowHeight="14.6"/>
  <cols>
    <col min="1" max="1" width="6.765625" bestFit="1" customWidth="1"/>
    <col min="2" max="2" width="5.3828125" bestFit="1" customWidth="1"/>
    <col min="3" max="3" width="39.921875" bestFit="1" customWidth="1"/>
  </cols>
  <sheetData>
    <row r="1" spans="1:3">
      <c r="A1" s="1" t="s">
        <v>4</v>
      </c>
      <c r="B1" s="1" t="s">
        <v>24</v>
      </c>
      <c r="C1" s="1" t="s">
        <v>25</v>
      </c>
    </row>
    <row r="2" spans="1:3">
      <c r="A2">
        <v>211</v>
      </c>
      <c r="B2" t="s">
        <v>26</v>
      </c>
      <c r="C2" t="s">
        <v>27</v>
      </c>
    </row>
    <row r="3" spans="1:3">
      <c r="A3">
        <v>217</v>
      </c>
      <c r="B3" t="s">
        <v>26</v>
      </c>
      <c r="C3" t="s">
        <v>27</v>
      </c>
    </row>
    <row r="4" spans="1:3">
      <c r="A4">
        <v>281</v>
      </c>
      <c r="B4" t="s">
        <v>26</v>
      </c>
      <c r="C4" t="s">
        <v>27</v>
      </c>
    </row>
    <row r="5" spans="1:3">
      <c r="A5">
        <v>300</v>
      </c>
      <c r="B5" t="s">
        <v>28</v>
      </c>
      <c r="C5" t="s">
        <v>2</v>
      </c>
    </row>
    <row r="6" spans="1:3">
      <c r="A6">
        <v>430</v>
      </c>
      <c r="B6" t="s">
        <v>28</v>
      </c>
      <c r="C6" t="s">
        <v>29</v>
      </c>
    </row>
    <row r="7" spans="1:3">
      <c r="A7">
        <v>572</v>
      </c>
      <c r="B7" t="s">
        <v>28</v>
      </c>
      <c r="C7" t="s">
        <v>30</v>
      </c>
    </row>
    <row r="8" spans="1:3">
      <c r="A8">
        <v>100</v>
      </c>
      <c r="B8" t="s">
        <v>31</v>
      </c>
      <c r="C8" t="s">
        <v>32</v>
      </c>
    </row>
    <row r="9" spans="1:3">
      <c r="A9">
        <v>112</v>
      </c>
      <c r="B9" t="s">
        <v>31</v>
      </c>
      <c r="C9" t="s">
        <v>33</v>
      </c>
    </row>
    <row r="10" spans="1:3">
      <c r="A10">
        <v>170</v>
      </c>
      <c r="B10" t="s">
        <v>34</v>
      </c>
      <c r="C10" t="s">
        <v>35</v>
      </c>
    </row>
    <row r="11" spans="1:3">
      <c r="A11">
        <v>400</v>
      </c>
      <c r="B11" t="s">
        <v>36</v>
      </c>
      <c r="C11" t="s">
        <v>37</v>
      </c>
    </row>
    <row r="12" spans="1:3">
      <c r="A12">
        <v>475</v>
      </c>
      <c r="B12" t="s">
        <v>36</v>
      </c>
      <c r="C12" t="s">
        <v>37</v>
      </c>
    </row>
    <row r="13" spans="1:3">
      <c r="A13">
        <v>700</v>
      </c>
      <c r="B13" t="s">
        <v>38</v>
      </c>
      <c r="C13" t="s">
        <v>39</v>
      </c>
    </row>
    <row r="14" spans="1:3">
      <c r="A14">
        <v>600</v>
      </c>
      <c r="B14" t="s">
        <v>38</v>
      </c>
      <c r="C14" t="s">
        <v>40</v>
      </c>
    </row>
    <row r="15" spans="1:3">
      <c r="A15">
        <v>640</v>
      </c>
      <c r="B15" t="s">
        <v>38</v>
      </c>
      <c r="C15" t="s">
        <v>41</v>
      </c>
    </row>
    <row r="16" spans="1:3">
      <c r="A16">
        <v>642</v>
      </c>
      <c r="B16" t="s">
        <v>38</v>
      </c>
      <c r="C16" t="s">
        <v>41</v>
      </c>
    </row>
    <row r="17" spans="1:3">
      <c r="A17">
        <v>621</v>
      </c>
      <c r="B17" t="s">
        <v>38</v>
      </c>
      <c r="C17" t="s">
        <v>42</v>
      </c>
    </row>
    <row r="18" spans="1:3">
      <c r="A18">
        <v>681</v>
      </c>
      <c r="B18" t="s">
        <v>38</v>
      </c>
      <c r="C18" t="s">
        <v>43</v>
      </c>
    </row>
    <row r="19" spans="1:3">
      <c r="A19">
        <v>213</v>
      </c>
      <c r="B19" t="s">
        <v>26</v>
      </c>
      <c r="C19" t="s">
        <v>27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F1526-B8B5-42C8-BC07-2E8DAD0E6D12}">
  <sheetPr codeName="Hoja13">
    <tabColor theme="8" tint="-0.249977111117893"/>
  </sheetPr>
  <dimension ref="A1:B30"/>
  <sheetViews>
    <sheetView zoomScale="79" workbookViewId="0">
      <selection activeCell="F20" sqref="F20"/>
    </sheetView>
  </sheetViews>
  <sheetFormatPr baseColWidth="10" defaultRowHeight="14.6"/>
  <cols>
    <col min="1" max="1" width="42.3046875" bestFit="1" customWidth="1"/>
    <col min="2" max="2" width="14.69140625" style="5" customWidth="1"/>
  </cols>
  <sheetData>
    <row r="1" spans="1:2" ht="18.45">
      <c r="A1" s="10" t="s">
        <v>44</v>
      </c>
      <c r="B1" s="11"/>
    </row>
    <row r="3" spans="1:2">
      <c r="A3" s="8" t="s">
        <v>45</v>
      </c>
      <c r="B3" s="9">
        <v>390000</v>
      </c>
    </row>
    <row r="4" spans="1:2">
      <c r="A4" t="s">
        <v>46</v>
      </c>
      <c r="B4" s="5">
        <v>390000</v>
      </c>
    </row>
    <row r="5" spans="1:2">
      <c r="A5" s="8" t="s">
        <v>47</v>
      </c>
      <c r="B5" s="9">
        <v>490000</v>
      </c>
    </row>
    <row r="6" spans="1:2">
      <c r="A6" t="s">
        <v>48</v>
      </c>
      <c r="B6" s="5">
        <v>120000</v>
      </c>
    </row>
    <row r="7" spans="1:2">
      <c r="A7" t="s">
        <v>49</v>
      </c>
      <c r="B7" s="5">
        <v>180000</v>
      </c>
    </row>
    <row r="8" spans="1:2">
      <c r="A8" t="s">
        <v>50</v>
      </c>
      <c r="B8" s="5">
        <v>190000</v>
      </c>
    </row>
    <row r="9" spans="1:2">
      <c r="A9" s="1" t="s">
        <v>51</v>
      </c>
      <c r="B9" s="4">
        <v>880000</v>
      </c>
    </row>
    <row r="11" spans="1:2">
      <c r="A11" s="8" t="s">
        <v>52</v>
      </c>
      <c r="B11" s="9">
        <v>510000</v>
      </c>
    </row>
    <row r="12" spans="1:2">
      <c r="A12" t="s">
        <v>53</v>
      </c>
      <c r="B12" s="5">
        <v>300000</v>
      </c>
    </row>
    <row r="13" spans="1:2">
      <c r="A13" t="s">
        <v>54</v>
      </c>
      <c r="B13" s="5">
        <v>60000</v>
      </c>
    </row>
    <row r="14" spans="1:2">
      <c r="A14" t="s">
        <v>55</v>
      </c>
      <c r="B14" s="5">
        <v>150000</v>
      </c>
    </row>
    <row r="15" spans="1:2">
      <c r="A15" s="8" t="s">
        <v>56</v>
      </c>
      <c r="B15" s="9">
        <v>200000</v>
      </c>
    </row>
    <row r="16" spans="1:2">
      <c r="A16" t="s">
        <v>57</v>
      </c>
      <c r="B16" s="5">
        <v>200000</v>
      </c>
    </row>
    <row r="17" spans="1:2">
      <c r="A17" s="8" t="s">
        <v>58</v>
      </c>
      <c r="B17" s="9">
        <v>170000</v>
      </c>
    </row>
    <row r="18" spans="1:2">
      <c r="A18" t="s">
        <v>59</v>
      </c>
      <c r="B18" s="5">
        <v>170000</v>
      </c>
    </row>
    <row r="19" spans="1:2">
      <c r="A19" s="1" t="s">
        <v>60</v>
      </c>
      <c r="B19" s="4">
        <v>880000</v>
      </c>
    </row>
    <row r="22" spans="1:2" ht="18.45">
      <c r="A22" s="10" t="s">
        <v>61</v>
      </c>
      <c r="B22" s="11"/>
    </row>
    <row r="24" spans="1:2">
      <c r="A24" s="1" t="s">
        <v>62</v>
      </c>
      <c r="B24" s="4">
        <v>150000</v>
      </c>
    </row>
    <row r="25" spans="1:2">
      <c r="A25" t="s">
        <v>63</v>
      </c>
      <c r="B25" s="5">
        <v>1250000</v>
      </c>
    </row>
    <row r="26" spans="1:2">
      <c r="A26" t="s">
        <v>64</v>
      </c>
      <c r="B26" s="5">
        <v>-700000</v>
      </c>
    </row>
    <row r="27" spans="1:2">
      <c r="A27" t="s">
        <v>65</v>
      </c>
      <c r="B27" s="5">
        <v>-330000</v>
      </c>
    </row>
    <row r="28" spans="1:2">
      <c r="A28" t="s">
        <v>66</v>
      </c>
      <c r="B28" s="5">
        <v>-40000</v>
      </c>
    </row>
    <row r="29" spans="1:2">
      <c r="A29" t="s">
        <v>67</v>
      </c>
      <c r="B29" s="5">
        <v>-30000</v>
      </c>
    </row>
    <row r="30" spans="1:2">
      <c r="A30" s="1" t="s">
        <v>68</v>
      </c>
      <c r="B30" s="4">
        <v>150000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58177-E5EB-4278-91EC-B3A26BCBEFCC}">
  <sheetPr codeName="Hoja14"/>
  <dimension ref="A1:C18"/>
  <sheetViews>
    <sheetView workbookViewId="0">
      <selection activeCell="D23" sqref="D23"/>
    </sheetView>
  </sheetViews>
  <sheetFormatPr baseColWidth="10" defaultRowHeight="14.6"/>
  <cols>
    <col min="1" max="1" width="6.765625" bestFit="1" customWidth="1"/>
    <col min="2" max="2" width="34.3828125" bestFit="1" customWidth="1"/>
    <col min="3" max="3" width="9.53515625" style="5" bestFit="1" customWidth="1"/>
  </cols>
  <sheetData>
    <row r="1" spans="1:3">
      <c r="A1" s="1" t="s">
        <v>4</v>
      </c>
      <c r="B1" s="1" t="s">
        <v>5</v>
      </c>
      <c r="C1" s="4" t="s">
        <v>6</v>
      </c>
    </row>
    <row r="2" spans="1:3">
      <c r="A2">
        <v>100</v>
      </c>
      <c r="B2" t="s">
        <v>7</v>
      </c>
      <c r="C2" s="5">
        <v>-300000</v>
      </c>
    </row>
    <row r="3" spans="1:3">
      <c r="A3">
        <v>112</v>
      </c>
      <c r="B3" t="s">
        <v>8</v>
      </c>
      <c r="C3" s="5">
        <v>-40000</v>
      </c>
    </row>
    <row r="4" spans="1:3">
      <c r="A4">
        <v>170</v>
      </c>
      <c r="B4" t="s">
        <v>9</v>
      </c>
      <c r="C4" s="5">
        <v>-250000</v>
      </c>
    </row>
    <row r="5" spans="1:3">
      <c r="A5">
        <v>211</v>
      </c>
      <c r="B5" t="s">
        <v>10</v>
      </c>
      <c r="C5" s="5">
        <v>400000</v>
      </c>
    </row>
    <row r="6" spans="1:3">
      <c r="A6">
        <v>217</v>
      </c>
      <c r="B6" t="s">
        <v>11</v>
      </c>
      <c r="C6" s="5">
        <v>40000</v>
      </c>
    </row>
    <row r="7" spans="1:3">
      <c r="A7">
        <v>281</v>
      </c>
      <c r="B7" t="s">
        <v>12</v>
      </c>
      <c r="C7" s="5">
        <v>-60000</v>
      </c>
    </row>
    <row r="8" spans="1:3">
      <c r="A8">
        <v>300</v>
      </c>
      <c r="B8" t="s">
        <v>13</v>
      </c>
      <c r="C8" s="5">
        <v>100000</v>
      </c>
    </row>
    <row r="9" spans="1:3">
      <c r="A9">
        <v>400</v>
      </c>
      <c r="B9" t="s">
        <v>14</v>
      </c>
      <c r="C9" s="5">
        <v>-130000</v>
      </c>
    </row>
    <row r="10" spans="1:3">
      <c r="A10">
        <v>430</v>
      </c>
      <c r="B10" t="s">
        <v>15</v>
      </c>
      <c r="C10" s="5">
        <v>150000</v>
      </c>
    </row>
    <row r="11" spans="1:3">
      <c r="A11">
        <v>475</v>
      </c>
      <c r="B11" t="s">
        <v>16</v>
      </c>
      <c r="C11" s="5">
        <v>-15000</v>
      </c>
    </row>
    <row r="12" spans="1:3">
      <c r="A12">
        <v>572</v>
      </c>
      <c r="B12" t="s">
        <v>17</v>
      </c>
      <c r="C12" s="5">
        <v>240000</v>
      </c>
    </row>
    <row r="13" spans="1:3">
      <c r="A13">
        <v>600</v>
      </c>
      <c r="B13" t="s">
        <v>18</v>
      </c>
      <c r="C13" s="5">
        <v>600000</v>
      </c>
    </row>
    <row r="14" spans="1:3">
      <c r="A14">
        <v>621</v>
      </c>
      <c r="B14" t="s">
        <v>19</v>
      </c>
      <c r="C14" s="5">
        <v>38000</v>
      </c>
    </row>
    <row r="15" spans="1:3">
      <c r="A15">
        <v>640</v>
      </c>
      <c r="B15" t="s">
        <v>20</v>
      </c>
      <c r="C15" s="5">
        <v>230000</v>
      </c>
    </row>
    <row r="16" spans="1:3">
      <c r="A16">
        <v>642</v>
      </c>
      <c r="B16" t="s">
        <v>21</v>
      </c>
      <c r="C16" s="5">
        <v>72000</v>
      </c>
    </row>
    <row r="17" spans="1:3">
      <c r="A17">
        <v>681</v>
      </c>
      <c r="B17" t="s">
        <v>22</v>
      </c>
      <c r="C17" s="5">
        <v>25000</v>
      </c>
    </row>
    <row r="18" spans="1:3">
      <c r="A18">
        <v>700</v>
      </c>
      <c r="B18" t="s">
        <v>23</v>
      </c>
      <c r="C18" s="5">
        <v>-1100000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626A5-0AD4-483E-ACD1-8C5ACF9FADE4}">
  <sheetPr codeName="Hoja1"/>
  <dimension ref="A1:G39"/>
  <sheetViews>
    <sheetView showGridLines="0" workbookViewId="0"/>
  </sheetViews>
  <sheetFormatPr baseColWidth="10" defaultRowHeight="14.6"/>
  <cols>
    <col min="1" max="1" width="42.3046875" bestFit="1" customWidth="1"/>
    <col min="2" max="4" width="14.69140625" style="5" customWidth="1"/>
    <col min="5" max="7" width="14.69140625" style="3" customWidth="1"/>
  </cols>
  <sheetData>
    <row r="1" spans="1:7" ht="18.45">
      <c r="A1" s="6" t="s">
        <v>70</v>
      </c>
    </row>
    <row r="3" spans="1:7">
      <c r="A3" s="13" t="s">
        <v>25</v>
      </c>
      <c r="B3" s="20">
        <v>2025</v>
      </c>
      <c r="C3" s="20">
        <v>2024</v>
      </c>
      <c r="D3" s="21" t="s">
        <v>71</v>
      </c>
      <c r="E3" s="14" t="s">
        <v>72</v>
      </c>
      <c r="F3" s="14" t="s">
        <v>73</v>
      </c>
      <c r="G3" s="14" t="s">
        <v>74</v>
      </c>
    </row>
    <row r="4" spans="1:7">
      <c r="A4" s="1" t="s">
        <v>45</v>
      </c>
      <c r="B4" s="4">
        <v>390000</v>
      </c>
      <c r="C4" s="4">
        <v>380000</v>
      </c>
      <c r="D4" s="4">
        <v>10000</v>
      </c>
      <c r="E4" s="12">
        <v>2.6315789473684209E-2</v>
      </c>
      <c r="F4" s="12">
        <v>0.44318181818181818</v>
      </c>
      <c r="G4" s="12">
        <v>0.43678160919540232</v>
      </c>
    </row>
    <row r="5" spans="1:7">
      <c r="A5" t="s">
        <v>46</v>
      </c>
      <c r="B5" s="5">
        <v>390000</v>
      </c>
      <c r="C5" s="5">
        <v>380000</v>
      </c>
      <c r="D5" s="5">
        <v>10000</v>
      </c>
      <c r="E5" s="3">
        <v>2.6315789473684209E-2</v>
      </c>
      <c r="F5" s="3">
        <v>0.44318181818181818</v>
      </c>
      <c r="G5" s="3">
        <v>0.43678160919540232</v>
      </c>
    </row>
    <row r="6" spans="1:7">
      <c r="A6" s="1" t="s">
        <v>47</v>
      </c>
      <c r="B6" s="4">
        <v>490000</v>
      </c>
      <c r="C6" s="4">
        <v>490000</v>
      </c>
      <c r="D6" s="4">
        <v>0</v>
      </c>
      <c r="E6" s="12">
        <v>0</v>
      </c>
      <c r="F6" s="12">
        <v>0.55681818181818177</v>
      </c>
      <c r="G6" s="12">
        <v>0.56321839080459768</v>
      </c>
    </row>
    <row r="7" spans="1:7">
      <c r="A7" t="s">
        <v>48</v>
      </c>
      <c r="B7" s="5">
        <v>120000</v>
      </c>
      <c r="C7" s="5">
        <v>100000</v>
      </c>
      <c r="D7" s="5">
        <v>20000</v>
      </c>
      <c r="E7" s="3">
        <v>0.2</v>
      </c>
      <c r="F7" s="3">
        <v>0.13636363636363635</v>
      </c>
      <c r="G7" s="3">
        <v>0.11494252873563218</v>
      </c>
    </row>
    <row r="8" spans="1:7">
      <c r="A8" t="s">
        <v>49</v>
      </c>
      <c r="B8" s="5">
        <v>180000</v>
      </c>
      <c r="C8" s="5">
        <v>150000</v>
      </c>
      <c r="D8" s="5">
        <v>30000</v>
      </c>
      <c r="E8" s="3">
        <v>0.2</v>
      </c>
      <c r="F8" s="3">
        <v>0.20454545454545456</v>
      </c>
      <c r="G8" s="3">
        <v>0.17241379310344829</v>
      </c>
    </row>
    <row r="9" spans="1:7">
      <c r="A9" t="s">
        <v>50</v>
      </c>
      <c r="B9" s="5">
        <v>190000</v>
      </c>
      <c r="C9" s="5">
        <v>240000</v>
      </c>
      <c r="D9" s="5">
        <v>-50000</v>
      </c>
      <c r="E9" s="3">
        <v>-0.20833333333333334</v>
      </c>
      <c r="F9" s="3">
        <v>0.21590909090909091</v>
      </c>
      <c r="G9" s="3">
        <v>0.27586206896551724</v>
      </c>
    </row>
    <row r="10" spans="1:7">
      <c r="A10" s="1" t="s">
        <v>75</v>
      </c>
      <c r="B10" s="4">
        <v>880000</v>
      </c>
      <c r="C10" s="4">
        <v>870000</v>
      </c>
      <c r="D10" s="4">
        <v>10000</v>
      </c>
      <c r="E10" s="12">
        <v>1.1494252873563218E-2</v>
      </c>
      <c r="F10" s="12">
        <v>1</v>
      </c>
      <c r="G10" s="12">
        <v>1</v>
      </c>
    </row>
    <row r="12" spans="1:7">
      <c r="A12" s="1" t="s">
        <v>52</v>
      </c>
      <c r="B12" s="4">
        <v>510000</v>
      </c>
      <c r="C12" s="4">
        <v>475000</v>
      </c>
      <c r="D12" s="4">
        <v>35000</v>
      </c>
      <c r="E12" s="12">
        <v>7.3684210526315783E-2</v>
      </c>
      <c r="F12" s="12">
        <v>0.57954545454545459</v>
      </c>
      <c r="G12" s="12">
        <v>0.54597701149425293</v>
      </c>
    </row>
    <row r="13" spans="1:7">
      <c r="A13" t="s">
        <v>53</v>
      </c>
      <c r="B13" s="5">
        <v>300000</v>
      </c>
      <c r="C13" s="5">
        <v>300000</v>
      </c>
      <c r="D13" s="5">
        <v>0</v>
      </c>
      <c r="E13" s="3">
        <v>0</v>
      </c>
      <c r="F13" s="3">
        <v>0.34090909090909088</v>
      </c>
      <c r="G13" s="3">
        <v>0.34482758620689657</v>
      </c>
    </row>
    <row r="14" spans="1:7">
      <c r="A14" t="s">
        <v>54</v>
      </c>
      <c r="B14" s="5">
        <v>60000</v>
      </c>
      <c r="C14" s="5">
        <v>40000</v>
      </c>
      <c r="D14" s="5">
        <v>20000</v>
      </c>
      <c r="E14" s="3">
        <v>0.5</v>
      </c>
      <c r="F14" s="3">
        <v>6.8181818181818177E-2</v>
      </c>
      <c r="G14" s="3">
        <v>4.5977011494252873E-2</v>
      </c>
    </row>
    <row r="15" spans="1:7">
      <c r="A15" t="s">
        <v>55</v>
      </c>
      <c r="B15" s="5">
        <v>150000</v>
      </c>
      <c r="C15" s="5">
        <v>135000</v>
      </c>
      <c r="D15" s="5">
        <v>15000</v>
      </c>
      <c r="E15" s="3">
        <v>0.1111111111111111</v>
      </c>
      <c r="F15" s="3">
        <v>0.17045454545454544</v>
      </c>
      <c r="G15" s="3">
        <v>0.15517241379310345</v>
      </c>
    </row>
    <row r="16" spans="1:7">
      <c r="A16" s="1" t="s">
        <v>56</v>
      </c>
      <c r="B16" s="4">
        <v>200000</v>
      </c>
      <c r="C16" s="4">
        <v>250000</v>
      </c>
      <c r="D16" s="4">
        <v>-50000</v>
      </c>
      <c r="E16" s="12">
        <v>-0.2</v>
      </c>
      <c r="F16" s="12">
        <v>0.22727272727272727</v>
      </c>
      <c r="G16" s="12">
        <v>0.28735632183908044</v>
      </c>
    </row>
    <row r="17" spans="1:7">
      <c r="A17" t="s">
        <v>57</v>
      </c>
      <c r="B17" s="5">
        <v>200000</v>
      </c>
      <c r="C17" s="5">
        <v>250000</v>
      </c>
      <c r="D17" s="5">
        <v>-50000</v>
      </c>
      <c r="E17" s="3">
        <v>-0.2</v>
      </c>
      <c r="F17" s="3">
        <v>0.22727272727272727</v>
      </c>
      <c r="G17" s="3">
        <v>0.28735632183908044</v>
      </c>
    </row>
    <row r="18" spans="1:7">
      <c r="A18" s="1" t="s">
        <v>58</v>
      </c>
      <c r="B18" s="4">
        <v>170000</v>
      </c>
      <c r="C18" s="4">
        <v>145000</v>
      </c>
      <c r="D18" s="4">
        <v>25000</v>
      </c>
      <c r="E18" s="12">
        <v>0.17241379310344829</v>
      </c>
      <c r="F18" s="12">
        <v>0.19318181818181818</v>
      </c>
      <c r="G18" s="12">
        <v>0.16666666666666666</v>
      </c>
    </row>
    <row r="19" spans="1:7">
      <c r="A19" t="s">
        <v>59</v>
      </c>
      <c r="B19" s="5">
        <v>170000</v>
      </c>
      <c r="C19" s="5">
        <v>145000</v>
      </c>
      <c r="D19" s="5">
        <v>25000</v>
      </c>
      <c r="E19" s="3">
        <v>0.17241379310344829</v>
      </c>
      <c r="F19" s="3">
        <v>0.19318181818181818</v>
      </c>
      <c r="G19" s="3">
        <v>0.16666666666666666</v>
      </c>
    </row>
    <row r="20" spans="1:7">
      <c r="A20" s="1" t="s">
        <v>76</v>
      </c>
      <c r="B20" s="4">
        <v>880000</v>
      </c>
      <c r="C20" s="4">
        <v>870000</v>
      </c>
      <c r="D20" s="4">
        <v>10000</v>
      </c>
      <c r="E20" s="12">
        <v>1.1494252873563218E-2</v>
      </c>
      <c r="F20" s="12">
        <v>1</v>
      </c>
      <c r="G20" s="12">
        <v>1</v>
      </c>
    </row>
    <row r="22" spans="1:7">
      <c r="A22" s="1" t="s">
        <v>77</v>
      </c>
      <c r="B22" s="4">
        <v>150000</v>
      </c>
      <c r="C22" s="4">
        <v>135000</v>
      </c>
      <c r="D22" s="4">
        <v>15000</v>
      </c>
      <c r="E22" s="12">
        <v>0.1111111111111111</v>
      </c>
      <c r="F22" s="12">
        <v>0.12</v>
      </c>
      <c r="G22" s="12">
        <v>0.12272727272727273</v>
      </c>
    </row>
    <row r="23" spans="1:7">
      <c r="A23" t="s">
        <v>63</v>
      </c>
      <c r="B23" s="5">
        <v>1250000</v>
      </c>
      <c r="C23" s="5">
        <v>1100000</v>
      </c>
      <c r="D23" s="5">
        <v>150000</v>
      </c>
      <c r="E23" s="3">
        <v>0.13636363636363635</v>
      </c>
      <c r="F23" s="3">
        <v>1</v>
      </c>
      <c r="G23" s="3">
        <v>1</v>
      </c>
    </row>
    <row r="24" spans="1:7">
      <c r="A24" t="s">
        <v>64</v>
      </c>
      <c r="B24" s="5">
        <v>-700000</v>
      </c>
      <c r="C24" s="5">
        <v>-600000</v>
      </c>
      <c r="D24" s="5">
        <v>-100000</v>
      </c>
      <c r="E24" s="3">
        <v>-0.16666666666666666</v>
      </c>
      <c r="F24" s="3">
        <v>-0.56000000000000005</v>
      </c>
      <c r="G24" s="3">
        <v>-0.54545454545454541</v>
      </c>
    </row>
    <row r="25" spans="1:7">
      <c r="A25" t="s">
        <v>65</v>
      </c>
      <c r="B25" s="5">
        <v>-330000</v>
      </c>
      <c r="C25" s="5">
        <v>-302000</v>
      </c>
      <c r="D25" s="5">
        <v>-28000</v>
      </c>
      <c r="E25" s="3">
        <v>-9.2715231788079472E-2</v>
      </c>
      <c r="F25" s="3">
        <v>-0.26400000000000001</v>
      </c>
      <c r="G25" s="3">
        <v>-0.27454545454545454</v>
      </c>
    </row>
    <row r="26" spans="1:7">
      <c r="A26" t="s">
        <v>66</v>
      </c>
      <c r="B26" s="5">
        <v>-40000</v>
      </c>
      <c r="C26" s="5">
        <v>-38000</v>
      </c>
      <c r="D26" s="5">
        <v>-2000</v>
      </c>
      <c r="E26" s="3">
        <v>-5.2631578947368418E-2</v>
      </c>
      <c r="F26" s="3">
        <v>-3.2000000000000001E-2</v>
      </c>
      <c r="G26" s="3">
        <v>-3.4545454545454546E-2</v>
      </c>
    </row>
    <row r="27" spans="1:7">
      <c r="A27" t="s">
        <v>67</v>
      </c>
      <c r="B27" s="5">
        <v>-30000</v>
      </c>
      <c r="C27" s="5">
        <v>-25000</v>
      </c>
      <c r="D27" s="5">
        <v>-5000</v>
      </c>
      <c r="E27" s="3">
        <v>-0.2</v>
      </c>
      <c r="F27" s="3">
        <v>-2.4E-2</v>
      </c>
      <c r="G27" s="3">
        <v>-2.2727272727272728E-2</v>
      </c>
    </row>
    <row r="28" spans="1:7">
      <c r="A28" s="1" t="s">
        <v>68</v>
      </c>
      <c r="B28" s="4">
        <v>150000</v>
      </c>
      <c r="C28" s="4">
        <v>135000</v>
      </c>
      <c r="D28" s="4">
        <v>15000</v>
      </c>
      <c r="E28" s="12">
        <v>0.1111111111111111</v>
      </c>
      <c r="F28" s="12">
        <v>0.12</v>
      </c>
      <c r="G28" s="12">
        <v>0.12272727272727273</v>
      </c>
    </row>
    <row r="31" spans="1:7" ht="18.45">
      <c r="A31" s="6" t="s">
        <v>78</v>
      </c>
    </row>
    <row r="32" spans="1:7">
      <c r="A32" s="13" t="s">
        <v>3</v>
      </c>
      <c r="B32" s="20">
        <v>2025</v>
      </c>
      <c r="C32" s="20">
        <v>2024</v>
      </c>
      <c r="D32" s="21" t="s">
        <v>79</v>
      </c>
    </row>
    <row r="33" spans="1:4">
      <c r="A33" t="s">
        <v>80</v>
      </c>
      <c r="B33" s="2">
        <v>2.8823529411764706</v>
      </c>
      <c r="C33" s="2">
        <v>3.3793103448275863</v>
      </c>
      <c r="D33" s="2">
        <v>-0.49695740365111574</v>
      </c>
    </row>
    <row r="34" spans="1:4">
      <c r="A34" t="s">
        <v>81</v>
      </c>
      <c r="B34" s="2">
        <v>2.1764705882352939</v>
      </c>
      <c r="C34" s="2">
        <v>2.6896551724137931</v>
      </c>
      <c r="D34" s="2">
        <v>-0.51318458417849921</v>
      </c>
    </row>
    <row r="35" spans="1:4">
      <c r="A35" t="s">
        <v>82</v>
      </c>
      <c r="B35" s="2">
        <v>0.72549019607843135</v>
      </c>
      <c r="C35" s="2">
        <v>0.83157894736842108</v>
      </c>
      <c r="D35" s="2">
        <v>-0.10608875128998974</v>
      </c>
    </row>
    <row r="36" spans="1:4">
      <c r="A36" t="s">
        <v>83</v>
      </c>
      <c r="B36" s="2">
        <v>2.3783783783783785</v>
      </c>
      <c r="C36" s="2">
        <v>2.2025316455696204</v>
      </c>
      <c r="D36" s="2">
        <v>0.17584673280875807</v>
      </c>
    </row>
    <row r="37" spans="1:4">
      <c r="A37" t="s">
        <v>84</v>
      </c>
      <c r="B37" s="3">
        <v>0.29411764705882354</v>
      </c>
      <c r="C37" s="3">
        <v>0.28421052631578947</v>
      </c>
      <c r="D37" s="3">
        <v>9.9071207430340702E-3</v>
      </c>
    </row>
    <row r="38" spans="1:4">
      <c r="A38" t="s">
        <v>85</v>
      </c>
      <c r="B38" s="3">
        <v>0.17045454545454544</v>
      </c>
      <c r="C38" s="3">
        <v>0.15517241379310345</v>
      </c>
      <c r="D38" s="3">
        <v>1.5282131661441989E-2</v>
      </c>
    </row>
    <row r="39" spans="1:4">
      <c r="A39" t="s">
        <v>86</v>
      </c>
      <c r="B39" s="3">
        <v>0.12</v>
      </c>
      <c r="C39" s="3">
        <v>0.12272727272727273</v>
      </c>
      <c r="D39" s="3">
        <v>-2.727272727272731E-3</v>
      </c>
    </row>
  </sheetData>
  <conditionalFormatting sqref="E4:E28">
    <cfRule type="cellIs" dxfId="1" priority="1" stopIfTrue="1" operator="lessThan">
      <formula>0</formula>
    </cfRule>
    <cfRule type="cellIs" dxfId="0" priority="2" stopIfTrue="1" operator="greaterThan">
      <formula>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48862-54AF-40CE-A255-E897ED59F1BB}">
  <sheetPr codeName="Hoja16">
    <tabColor theme="5" tint="0.39997558519241921"/>
  </sheetPr>
  <dimension ref="B2:E30"/>
  <sheetViews>
    <sheetView showGridLines="0" zoomScale="70" workbookViewId="0">
      <selection activeCell="I23" sqref="I23"/>
    </sheetView>
  </sheetViews>
  <sheetFormatPr baseColWidth="10" defaultRowHeight="14.6"/>
  <cols>
    <col min="1" max="1" width="2.69140625" customWidth="1"/>
    <col min="2" max="2" width="80.69140625" customWidth="1"/>
    <col min="3" max="5" width="16.69140625" customWidth="1"/>
  </cols>
  <sheetData>
    <row r="2" spans="2:5" ht="20.6">
      <c r="B2" s="15" t="s">
        <v>87</v>
      </c>
    </row>
    <row r="4" spans="2:5" ht="15.9">
      <c r="B4" s="16" t="s">
        <v>88</v>
      </c>
    </row>
    <row r="5" spans="2:5" ht="29.15">
      <c r="B5" s="17" t="s">
        <v>89</v>
      </c>
    </row>
    <row r="6" spans="2:5">
      <c r="B6" s="13" t="s">
        <v>90</v>
      </c>
      <c r="C6" s="13" t="s">
        <v>91</v>
      </c>
      <c r="D6" s="13" t="s">
        <v>92</v>
      </c>
      <c r="E6" s="13" t="s">
        <v>93</v>
      </c>
    </row>
    <row r="7" spans="2:5">
      <c r="B7" t="s">
        <v>40</v>
      </c>
      <c r="C7" s="3">
        <v>0.54545454545454541</v>
      </c>
      <c r="D7" s="3">
        <v>0.56000000000000005</v>
      </c>
      <c r="E7" s="18">
        <v>-1.4545454545454639E-2</v>
      </c>
    </row>
    <row r="8" spans="2:5">
      <c r="B8" t="s">
        <v>41</v>
      </c>
      <c r="C8" s="3">
        <v>0.27454545454545454</v>
      </c>
      <c r="D8" s="3">
        <v>0.26400000000000001</v>
      </c>
      <c r="E8" s="18">
        <v>1.0545454545454525E-2</v>
      </c>
    </row>
    <row r="9" spans="2:5">
      <c r="B9" t="s">
        <v>42</v>
      </c>
      <c r="C9" s="3">
        <v>3.4545454545454546E-2</v>
      </c>
      <c r="D9" s="3">
        <v>3.2000000000000001E-2</v>
      </c>
      <c r="E9" s="18">
        <v>2.5454545454545452E-3</v>
      </c>
    </row>
    <row r="10" spans="2:5">
      <c r="B10" t="s">
        <v>43</v>
      </c>
      <c r="C10" s="3">
        <v>2.2727272727272728E-2</v>
      </c>
      <c r="D10" s="3">
        <v>2.4E-2</v>
      </c>
      <c r="E10" s="18">
        <v>-1.2727272727272726E-3</v>
      </c>
    </row>
    <row r="11" spans="2:5">
      <c r="B11" s="1" t="s">
        <v>94</v>
      </c>
      <c r="C11" s="12">
        <v>0.12272727272727273</v>
      </c>
      <c r="D11" s="12">
        <v>0.12</v>
      </c>
      <c r="E11" s="19">
        <v>-2.7272727272727275E-3</v>
      </c>
    </row>
    <row r="13" spans="2:5" ht="29.15">
      <c r="B13" s="17" t="s">
        <v>95</v>
      </c>
    </row>
    <row r="14" spans="2:5" ht="29.15">
      <c r="B14" s="17" t="s">
        <v>96</v>
      </c>
    </row>
    <row r="15" spans="2:5" ht="43.75">
      <c r="B15" s="17" t="s">
        <v>97</v>
      </c>
    </row>
    <row r="17" spans="2:3" ht="15.9">
      <c r="B17" s="16" t="s">
        <v>98</v>
      </c>
    </row>
    <row r="18" spans="2:3" ht="29.15">
      <c r="B18" s="17" t="s">
        <v>99</v>
      </c>
    </row>
    <row r="20" spans="2:3" ht="15.9">
      <c r="B20" s="16" t="s">
        <v>100</v>
      </c>
    </row>
    <row r="21" spans="2:3">
      <c r="B21" s="13" t="s">
        <v>0</v>
      </c>
      <c r="C21" s="13" t="s">
        <v>1</v>
      </c>
    </row>
    <row r="22" spans="2:3">
      <c r="B22" t="s">
        <v>101</v>
      </c>
      <c r="C22" s="5">
        <v>180000</v>
      </c>
    </row>
    <row r="23" spans="2:3">
      <c r="B23" t="s">
        <v>102</v>
      </c>
      <c r="C23" s="5">
        <v>-25000</v>
      </c>
    </row>
    <row r="24" spans="2:3">
      <c r="B24" t="s">
        <v>103</v>
      </c>
      <c r="C24" s="5">
        <v>-40000</v>
      </c>
    </row>
    <row r="25" spans="2:3">
      <c r="B25" t="s">
        <v>104</v>
      </c>
      <c r="C25" s="5">
        <v>-50000</v>
      </c>
    </row>
    <row r="26" spans="2:3">
      <c r="B26" t="s">
        <v>105</v>
      </c>
      <c r="C26" s="5">
        <v>-115000</v>
      </c>
    </row>
    <row r="27" spans="2:3">
      <c r="B27" s="1" t="s">
        <v>106</v>
      </c>
      <c r="C27" s="4">
        <v>-50000</v>
      </c>
    </row>
    <row r="29" spans="2:3" ht="29.15">
      <c r="B29" s="17" t="s">
        <v>107</v>
      </c>
    </row>
    <row r="30" spans="2:3" ht="29.15">
      <c r="B30" s="17" t="s">
        <v>108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3C279-83B1-45EE-B397-860C22D2EC13}">
  <dimension ref="A1:C11"/>
  <sheetViews>
    <sheetView tabSelected="1" workbookViewId="0">
      <selection activeCell="H27" sqref="H27"/>
    </sheetView>
  </sheetViews>
  <sheetFormatPr baseColWidth="10" defaultRowHeight="14.6"/>
  <cols>
    <col min="1" max="1" width="6.07421875" bestFit="1" customWidth="1"/>
    <col min="2" max="2" width="23.3828125" bestFit="1" customWidth="1"/>
    <col min="3" max="3" width="9.53515625" style="60" bestFit="1" customWidth="1"/>
  </cols>
  <sheetData>
    <row r="1" spans="1:3">
      <c r="A1" s="1" t="s">
        <v>148</v>
      </c>
      <c r="B1" s="1" t="s">
        <v>5</v>
      </c>
      <c r="C1" s="59" t="s">
        <v>6</v>
      </c>
    </row>
    <row r="2" spans="1:3">
      <c r="A2">
        <v>1</v>
      </c>
      <c r="B2" t="s">
        <v>149</v>
      </c>
      <c r="C2" s="60">
        <v>-560000</v>
      </c>
    </row>
    <row r="3" spans="1:3">
      <c r="A3">
        <v>2</v>
      </c>
      <c r="B3" t="s">
        <v>150</v>
      </c>
      <c r="C3" s="60">
        <v>390000</v>
      </c>
    </row>
    <row r="4" spans="1:3">
      <c r="A4">
        <v>3</v>
      </c>
      <c r="B4" t="s">
        <v>2</v>
      </c>
      <c r="C4" s="60">
        <v>120000</v>
      </c>
    </row>
    <row r="5" spans="1:3">
      <c r="A5">
        <v>4</v>
      </c>
      <c r="B5" t="s">
        <v>151</v>
      </c>
      <c r="C5" s="60">
        <v>10000</v>
      </c>
    </row>
    <row r="6" spans="1:3">
      <c r="A6">
        <v>5</v>
      </c>
      <c r="B6" t="s">
        <v>152</v>
      </c>
      <c r="C6" s="60">
        <v>190000</v>
      </c>
    </row>
    <row r="7" spans="1:3">
      <c r="A7">
        <v>6</v>
      </c>
      <c r="B7" t="s">
        <v>153</v>
      </c>
      <c r="C7" s="60">
        <v>1100000</v>
      </c>
    </row>
    <row r="8" spans="1:3">
      <c r="A8">
        <v>7</v>
      </c>
      <c r="B8" t="s">
        <v>154</v>
      </c>
      <c r="C8" s="60">
        <v>-1250000</v>
      </c>
    </row>
    <row r="10" spans="1:3">
      <c r="B10" s="1" t="s">
        <v>155</v>
      </c>
      <c r="C10" s="59">
        <v>0</v>
      </c>
    </row>
    <row r="11" spans="1:3">
      <c r="B11" s="1" t="s">
        <v>156</v>
      </c>
      <c r="C11" s="59">
        <v>150000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Portada</vt:lpstr>
      <vt:lpstr>SumasSaldos</vt:lpstr>
      <vt:lpstr>Mapeo</vt:lpstr>
      <vt:lpstr>CuentasAnuales</vt:lpstr>
      <vt:lpstr>SumasSaldos2024</vt:lpstr>
      <vt:lpstr>Analisis</vt:lpstr>
      <vt:lpstr>Conclusiones</vt:lpstr>
      <vt:lpstr>Resumen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Angosto</dc:creator>
  <cp:lastModifiedBy>Javier Angosto</cp:lastModifiedBy>
  <dcterms:created xsi:type="dcterms:W3CDTF">2026-10-14T09:54:54Z</dcterms:created>
  <dcterms:modified xsi:type="dcterms:W3CDTF">2026-10-14T12:52:36Z</dcterms:modified>
</cp:coreProperties>
</file>